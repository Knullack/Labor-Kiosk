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13_ncr:1_{B46CA8A9-6D16-4843-82DE-B525E1A6479D}" xr6:coauthVersionLast="47" xr6:coauthVersionMax="47" xr10:uidLastSave="{00000000-0000-0000-0000-000000000000}"/>
  <workbookProtection workbookAlgorithmName="SHA-512" workbookHashValue="gS8qd0TFII7k5JYZ6M/YwlUQ8D97+RRW9wXmkTi7jC4ZloaNrbcutFlJRXXbfdquS9Cv6zle3JMeaNYciZxy3w==" workbookSaltValue="UJEUq7QLkbtISgnaP0OAzw==" workbookSpinCount="100000" lockStructure="1"/>
  <bookViews>
    <workbookView xWindow="-120" yWindow="-120" windowWidth="29040" windowHeight="15720" xr2:uid="{00000000-000D-0000-FFFF-FFFF00000000}"/>
  </bookViews>
  <sheets>
    <sheet name="Staffing" sheetId="4" r:id="rId1"/>
    <sheet name="DOCK" sheetId="1" r:id="rId2"/>
    <sheet name="PIT" sheetId="2" r:id="rId3"/>
    <sheet name="Outbound Nights" sheetId="6" state="hidden" r:id="rId4"/>
    <sheet name="PS_ICQA_Learning" sheetId="5" r:id="rId5"/>
    <sheet name="Roster" sheetId="3" r:id="rId6"/>
    <sheet name="Headcount" sheetId="8" r:id="rId7"/>
  </sheets>
  <functionGroups builtInGroupCount="19"/>
  <definedNames>
    <definedName name="andon_start">PS_ICQA_Learning!$A$33</definedName>
    <definedName name="centerRider_start">PIT!$E$2</definedName>
    <definedName name="clampTruck_start">PIT!$E$15</definedName>
    <definedName name="CPTChase_start">PS_ICQA_Learning!$I$19</definedName>
    <definedName name="damage_start">PS_ICQA_Learning!$E$14</definedName>
    <definedName name="directedCounts_start">PS_ICQA_Learning!$A$3</definedName>
    <definedName name="dockAuditor_start">DOCK!$U$14</definedName>
    <definedName name="grayTotes_start">DOCK!$M$29</definedName>
    <definedName name="IBForklift_start">PIT!$M$10</definedName>
    <definedName name="IBJackpot_start">PS_ICQA_Learning!$E$4</definedName>
    <definedName name="IBTugger_start">PIT!$I$2</definedName>
    <definedName name="IOL_start">PS_ICQA_Learning!$E$19</definedName>
    <definedName name="learningGeneral_start">PS_ICQA_Learning!$M$3</definedName>
    <definedName name="learningPIT_start">PS_ICQA_Learning!$M$16</definedName>
    <definedName name="OBForklift_start">PIT!$M$2</definedName>
    <definedName name="OBJackpot_start">PS_ICQA_Learning!$I$4</definedName>
    <definedName name="OBLineLoad_start">DOCK!$M$2</definedName>
    <definedName name="OBLineLoadWS_start">DOCK!$M$17</definedName>
    <definedName name="OBRunner_start">PS_ICQA_Learning!$I$9</definedName>
    <definedName name="OBTugger_start">PIT!$I$10</definedName>
    <definedName name="palletize_start">DOCK!$Q$2</definedName>
    <definedName name="palletizeWS_start">DOCK!$Q$32</definedName>
    <definedName name="palletPS_start">PS_ICQA_Learning!$E$24</definedName>
    <definedName name="palletRacking_start">PS_ICQA_Learning!$A$13</definedName>
    <definedName name="pick_start">PIT!$Q$2</definedName>
    <definedName name="pickSkips_start">PS_ICQA_Learning!$I$24</definedName>
    <definedName name="QAScanner_start">DOCK!$M$21</definedName>
    <definedName name="SimpleBinCount_start">PS_ICQA_Learning!$A$23</definedName>
    <definedName name="stow_start">PIT!$A$2</definedName>
    <definedName name="stowKiosk_start">PS_ICQA_Learning!$E$9</definedName>
    <definedName name="totePalletize_start">DOCK!$U$9</definedName>
    <definedName name="totePalletizeWS_start">DOCK!$U$12</definedName>
    <definedName name="tuggerBusRoute_start">PIT!$I$18</definedName>
    <definedName name="turret_start">PIT!$E$8</definedName>
    <definedName name="UISDock_start">DOCK!$U$2</definedName>
    <definedName name="UISPS_start">PS_ICQA_Learning!$I$14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6" i="8" l="1"/>
  <c r="N15" i="8"/>
  <c r="N14" i="8"/>
  <c r="N13" i="8"/>
  <c r="N12" i="8"/>
  <c r="N11" i="8"/>
  <c r="N10" i="8"/>
  <c r="N9" i="8"/>
  <c r="N8" i="8"/>
  <c r="N7" i="8"/>
  <c r="N6" i="8"/>
  <c r="N5" i="8"/>
  <c r="N4" i="8"/>
  <c r="N3" i="8"/>
  <c r="N2" i="8"/>
  <c r="J12" i="8"/>
  <c r="J11" i="8"/>
  <c r="J10" i="8"/>
  <c r="J9" i="8"/>
  <c r="J8" i="8"/>
  <c r="J7" i="8"/>
  <c r="J5" i="8"/>
  <c r="J4" i="8"/>
  <c r="J3" i="8"/>
  <c r="J2" i="8"/>
  <c r="J6" i="8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4" i="8"/>
  <c r="F3" i="8"/>
  <c r="F2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5" i="8"/>
  <c r="C6" i="8"/>
  <c r="C7" i="8"/>
  <c r="C8" i="8"/>
  <c r="C9" i="8"/>
  <c r="C4" i="8"/>
  <c r="C2" i="8"/>
  <c r="C3" i="8"/>
  <c r="N16" i="8"/>
  <c r="P29" i="8"/>
  <c r="L29" i="8"/>
  <c r="H29" i="8"/>
  <c r="P28" i="8"/>
  <c r="L28" i="8"/>
  <c r="H28" i="8"/>
  <c r="P27" i="8"/>
  <c r="L27" i="8"/>
  <c r="H27" i="8"/>
  <c r="P26" i="8"/>
  <c r="L26" i="8"/>
  <c r="H26" i="8"/>
  <c r="P25" i="8"/>
  <c r="L25" i="8"/>
  <c r="H25" i="8"/>
  <c r="P24" i="8"/>
  <c r="L24" i="8"/>
  <c r="H24" i="8"/>
  <c r="P23" i="8"/>
  <c r="L23" i="8"/>
  <c r="H23" i="8"/>
  <c r="P22" i="8"/>
  <c r="L22" i="8"/>
  <c r="H22" i="8"/>
  <c r="P21" i="8"/>
  <c r="L21" i="8"/>
  <c r="H21" i="8"/>
  <c r="P20" i="8"/>
  <c r="D7" i="4" s="1"/>
  <c r="L20" i="8"/>
  <c r="H20" i="8"/>
  <c r="P19" i="8"/>
  <c r="L19" i="8"/>
  <c r="H19" i="8"/>
  <c r="P18" i="8"/>
  <c r="L18" i="8"/>
  <c r="H18" i="8"/>
  <c r="P17" i="8"/>
  <c r="L17" i="8"/>
  <c r="H17" i="8"/>
  <c r="L16" i="8"/>
  <c r="H16" i="8"/>
  <c r="P15" i="8"/>
  <c r="L15" i="8"/>
  <c r="H15" i="8"/>
  <c r="P14" i="8"/>
  <c r="L14" i="8"/>
  <c r="H14" i="8"/>
  <c r="P13" i="8"/>
  <c r="L13" i="8"/>
  <c r="H13" i="8"/>
  <c r="P12" i="8"/>
  <c r="L12" i="8"/>
  <c r="H12" i="8"/>
  <c r="P11" i="8"/>
  <c r="L11" i="8"/>
  <c r="H11" i="8"/>
  <c r="P10" i="8"/>
  <c r="L10" i="8"/>
  <c r="H10" i="8"/>
  <c r="P9" i="8"/>
  <c r="L9" i="8"/>
  <c r="H9" i="8"/>
  <c r="P8" i="8"/>
  <c r="L8" i="8"/>
  <c r="H8" i="8"/>
  <c r="P7" i="8"/>
  <c r="L7" i="8"/>
  <c r="H7" i="8"/>
  <c r="P6" i="8"/>
  <c r="L6" i="8"/>
  <c r="H6" i="8"/>
  <c r="R5" i="8"/>
  <c r="D5" i="4" s="1"/>
  <c r="P5" i="8"/>
  <c r="L5" i="8"/>
  <c r="H5" i="8"/>
  <c r="P4" i="8"/>
  <c r="L4" i="8"/>
  <c r="H4" i="8"/>
  <c r="P3" i="8"/>
  <c r="L3" i="8"/>
  <c r="H3" i="8"/>
  <c r="P2" i="8"/>
  <c r="L2" i="8"/>
  <c r="H2" i="8"/>
  <c r="F30" i="8"/>
  <c r="H30" i="8" l="1"/>
  <c r="L30" i="8"/>
  <c r="P30" i="8"/>
  <c r="J30" i="8"/>
  <c r="N30" i="8"/>
  <c r="R3" i="8" s="1"/>
  <c r="D3" i="4" s="1"/>
  <c r="J29" i="5" l="1"/>
  <c r="J5" i="5" l="1"/>
  <c r="B3" i="5"/>
  <c r="V16" i="1"/>
  <c r="N28" i="5"/>
  <c r="F4" i="1"/>
  <c r="F12" i="1"/>
  <c r="B19" i="1"/>
  <c r="B18" i="1"/>
  <c r="B17" i="1"/>
  <c r="B16" i="1"/>
  <c r="B15" i="1"/>
  <c r="B14" i="1"/>
  <c r="B13" i="1"/>
  <c r="B12" i="1"/>
  <c r="B11" i="1"/>
  <c r="B10" i="1"/>
  <c r="B9" i="1"/>
  <c r="B8" i="1"/>
  <c r="B7" i="1"/>
  <c r="B6" i="1"/>
  <c r="B5" i="1"/>
  <c r="B4" i="1"/>
  <c r="B3" i="1"/>
  <c r="B2" i="1"/>
  <c r="F15" i="1"/>
  <c r="B2" i="2"/>
  <c r="R2" i="1"/>
  <c r="R3" i="1"/>
  <c r="N2" i="1"/>
  <c r="B3" i="2" l="1"/>
  <c r="B4" i="2"/>
  <c r="B5" i="2"/>
  <c r="B6" i="2"/>
  <c r="B7" i="2"/>
  <c r="B8" i="2"/>
  <c r="B34" i="5"/>
  <c r="B35" i="5"/>
  <c r="B36" i="5"/>
  <c r="B37" i="5"/>
  <c r="B38" i="5"/>
  <c r="B39" i="5"/>
  <c r="B40" i="5"/>
  <c r="B41" i="5"/>
  <c r="B42" i="5"/>
  <c r="B24" i="5"/>
  <c r="B25" i="5"/>
  <c r="B26" i="5"/>
  <c r="B27" i="5"/>
  <c r="B28" i="5"/>
  <c r="B29" i="5"/>
  <c r="B30" i="5"/>
  <c r="B31" i="5"/>
  <c r="B32" i="5"/>
  <c r="B14" i="5"/>
  <c r="B15" i="5"/>
  <c r="B16" i="5"/>
  <c r="B17" i="5"/>
  <c r="B18" i="5"/>
  <c r="B19" i="5"/>
  <c r="B20" i="5"/>
  <c r="B21" i="5"/>
  <c r="B22" i="5"/>
  <c r="B4" i="5"/>
  <c r="B5" i="5"/>
  <c r="B6" i="5"/>
  <c r="B7" i="5"/>
  <c r="B8" i="5"/>
  <c r="B9" i="5"/>
  <c r="B10" i="5"/>
  <c r="B11" i="5"/>
  <c r="B12" i="5"/>
  <c r="N27" i="5"/>
  <c r="N26" i="5"/>
  <c r="N25" i="5"/>
  <c r="N24" i="5"/>
  <c r="N23" i="5"/>
  <c r="N22" i="5"/>
  <c r="N21" i="5"/>
  <c r="N20" i="5"/>
  <c r="N19" i="5"/>
  <c r="N18" i="5"/>
  <c r="N17" i="5"/>
  <c r="N16" i="5"/>
  <c r="N15" i="5"/>
  <c r="N14" i="5"/>
  <c r="N13" i="5"/>
  <c r="N12" i="5"/>
  <c r="N11" i="5"/>
  <c r="N10" i="5"/>
  <c r="N9" i="5"/>
  <c r="N8" i="5"/>
  <c r="N7" i="5"/>
  <c r="N6" i="5"/>
  <c r="N5" i="5"/>
  <c r="N4" i="5"/>
  <c r="N3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4" i="5"/>
  <c r="F25" i="5"/>
  <c r="F26" i="5"/>
  <c r="F27" i="5"/>
  <c r="F28" i="5"/>
  <c r="F24" i="5"/>
  <c r="F5" i="5"/>
  <c r="F6" i="5"/>
  <c r="F7" i="5"/>
  <c r="F8" i="5"/>
  <c r="F9" i="5"/>
  <c r="F10" i="5"/>
  <c r="F11" i="5"/>
  <c r="F12" i="5"/>
  <c r="F13" i="5"/>
  <c r="F14" i="5"/>
  <c r="F15" i="5"/>
  <c r="F16" i="5"/>
  <c r="F17" i="5"/>
  <c r="F18" i="5"/>
  <c r="F19" i="5"/>
  <c r="F20" i="5"/>
  <c r="F21" i="5"/>
  <c r="F22" i="5"/>
  <c r="F23" i="5"/>
  <c r="F4" i="5"/>
  <c r="B33" i="5"/>
  <c r="B23" i="5"/>
  <c r="B13" i="5"/>
  <c r="V3" i="1"/>
  <c r="V4" i="1"/>
  <c r="V5" i="1"/>
  <c r="V6" i="1"/>
  <c r="V7" i="1"/>
  <c r="V8" i="1"/>
  <c r="V9" i="1"/>
  <c r="V10" i="1"/>
  <c r="V11" i="1"/>
  <c r="V12" i="1"/>
  <c r="V13" i="1"/>
  <c r="V14" i="1"/>
  <c r="V15" i="1"/>
  <c r="R4" i="1"/>
  <c r="R5" i="1"/>
  <c r="R6" i="1"/>
  <c r="R7" i="1"/>
  <c r="R8" i="1"/>
  <c r="R9" i="1"/>
  <c r="R10" i="1"/>
  <c r="R11" i="1"/>
  <c r="R12" i="1"/>
  <c r="R13" i="1"/>
  <c r="R14" i="1"/>
  <c r="R15" i="1"/>
  <c r="R16" i="1"/>
  <c r="R17" i="1"/>
  <c r="R1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F3" i="1"/>
  <c r="F5" i="1"/>
  <c r="F6" i="1"/>
  <c r="F7" i="1"/>
  <c r="F9" i="1"/>
  <c r="F10" i="1"/>
  <c r="F11" i="1"/>
  <c r="F13" i="1"/>
  <c r="F14" i="1"/>
  <c r="F16" i="1"/>
  <c r="F17" i="1"/>
  <c r="F18" i="1"/>
  <c r="F19" i="1"/>
  <c r="F20" i="1"/>
  <c r="F21" i="1"/>
  <c r="V2" i="1"/>
  <c r="J2" i="1"/>
  <c r="F2" i="1"/>
  <c r="F16" i="2"/>
  <c r="F17" i="2"/>
  <c r="F18" i="2"/>
  <c r="F19" i="2"/>
  <c r="F9" i="2"/>
  <c r="F10" i="2"/>
  <c r="F11" i="2"/>
  <c r="F12" i="2"/>
  <c r="N15" i="2"/>
  <c r="N14" i="2"/>
  <c r="N13" i="2"/>
  <c r="N12" i="2"/>
  <c r="N11" i="2"/>
  <c r="N10" i="2"/>
  <c r="N3" i="2"/>
  <c r="N4" i="2"/>
  <c r="N5" i="2"/>
  <c r="N6" i="2"/>
  <c r="N7" i="2"/>
  <c r="N2" i="2"/>
  <c r="J19" i="2"/>
  <c r="J20" i="2"/>
  <c r="J21" i="2"/>
  <c r="J22" i="2"/>
  <c r="J23" i="2"/>
  <c r="J11" i="2"/>
  <c r="J12" i="2"/>
  <c r="J13" i="2"/>
  <c r="J14" i="2"/>
  <c r="J15" i="2"/>
  <c r="J3" i="2"/>
  <c r="J4" i="2"/>
  <c r="J5" i="2"/>
  <c r="J6" i="2"/>
  <c r="J7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J18" i="2"/>
  <c r="J10" i="2"/>
  <c r="J2" i="2"/>
  <c r="F15" i="2"/>
  <c r="F8" i="2"/>
  <c r="F3" i="2"/>
  <c r="F4" i="2"/>
  <c r="F5" i="2"/>
  <c r="F2" i="2"/>
  <c r="R3" i="2"/>
  <c r="R4" i="2"/>
  <c r="R5" i="2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2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</calcChain>
</file>

<file path=xl/sharedStrings.xml><?xml version="1.0" encoding="utf-8"?>
<sst xmlns="http://schemas.openxmlformats.org/spreadsheetml/2006/main" count="2067" uniqueCount="1339">
  <si>
    <t>Login</t>
  </si>
  <si>
    <t>Task</t>
  </si>
  <si>
    <t>Pick Singles</t>
  </si>
  <si>
    <t>Pick Multis</t>
  </si>
  <si>
    <t>Ground Trans</t>
  </si>
  <si>
    <t>Air Trans</t>
  </si>
  <si>
    <t>Pack Multi</t>
  </si>
  <si>
    <t>Pack Slap</t>
  </si>
  <si>
    <t>Rebin</t>
  </si>
  <si>
    <t>Ship Dock</t>
  </si>
  <si>
    <t>Problem Solve</t>
  </si>
  <si>
    <t>Pack Singles</t>
  </si>
  <si>
    <t>Badge Login</t>
  </si>
  <si>
    <t>User ID</t>
  </si>
  <si>
    <t>Badge Barcode ID</t>
  </si>
  <si>
    <t>demenash</t>
  </si>
  <si>
    <t>rittjere</t>
  </si>
  <si>
    <t xml:space="preserve"> </t>
  </si>
  <si>
    <t xml:space="preserve">  </t>
  </si>
  <si>
    <t>Scan Badge</t>
  </si>
  <si>
    <t>ptoluba</t>
  </si>
  <si>
    <t>VRET</t>
  </si>
  <si>
    <t>Pick Multi VNA</t>
  </si>
  <si>
    <t>Badge</t>
  </si>
  <si>
    <t>moyenisa</t>
  </si>
  <si>
    <t>lganidia</t>
  </si>
  <si>
    <t>djordmun</t>
  </si>
  <si>
    <t>alegambi</t>
  </si>
  <si>
    <t>matthnde</t>
  </si>
  <si>
    <t>chjharti</t>
  </si>
  <si>
    <t>omorjean</t>
  </si>
  <si>
    <t>jarturni</t>
  </si>
  <si>
    <t>penjoelv</t>
  </si>
  <si>
    <t>tekdarle</t>
  </si>
  <si>
    <t>brcollad</t>
  </si>
  <si>
    <t>alexipuj</t>
  </si>
  <si>
    <t>keelberr</t>
  </si>
  <si>
    <t>arverale</t>
  </si>
  <si>
    <t>mejiasty</t>
  </si>
  <si>
    <t>jagmarti</t>
  </si>
  <si>
    <t>rselenny</t>
  </si>
  <si>
    <t>coxdania</t>
  </si>
  <si>
    <t>bwelhing</t>
  </si>
  <si>
    <t>cynschah</t>
  </si>
  <si>
    <t>melcelis</t>
  </si>
  <si>
    <t>tammivma</t>
  </si>
  <si>
    <t>jaxcardo</t>
  </si>
  <si>
    <t>pmanness</t>
  </si>
  <si>
    <t>tibuhect</t>
  </si>
  <si>
    <t>stockda</t>
  </si>
  <si>
    <t>osantorr</t>
  </si>
  <si>
    <t>valdespu</t>
  </si>
  <si>
    <t>jairoflo</t>
  </si>
  <si>
    <t>ferrayre</t>
  </si>
  <si>
    <t>arcangfr</t>
  </si>
  <si>
    <t>mgonmiri</t>
  </si>
  <si>
    <t>qmedcarl</t>
  </si>
  <si>
    <t>mcilgre</t>
  </si>
  <si>
    <t>moyethae</t>
  </si>
  <si>
    <t>menzelzo</t>
  </si>
  <si>
    <t>keyshlao</t>
  </si>
  <si>
    <t>gmylene</t>
  </si>
  <si>
    <t>isaacloa</t>
  </si>
  <si>
    <t>zorimell</t>
  </si>
  <si>
    <t>gissefri</t>
  </si>
  <si>
    <t>qmillert</t>
  </si>
  <si>
    <t>ktojonat</t>
  </si>
  <si>
    <t>torrfjav</t>
  </si>
  <si>
    <t>rosargje</t>
  </si>
  <si>
    <t>recarera</t>
  </si>
  <si>
    <t>jahwjah</t>
  </si>
  <si>
    <t>medinaln</t>
  </si>
  <si>
    <t>mejiajoy</t>
  </si>
  <si>
    <t>michhilr</t>
  </si>
  <si>
    <t>heckered</t>
  </si>
  <si>
    <t>rajahlri</t>
  </si>
  <si>
    <t>heavvegp</t>
  </si>
  <si>
    <t>ecollada</t>
  </si>
  <si>
    <t>vluisguz</t>
  </si>
  <si>
    <t>maskpier</t>
  </si>
  <si>
    <t>smidevyo</t>
  </si>
  <si>
    <t>disabehe</t>
  </si>
  <si>
    <t>santzuhe</t>
  </si>
  <si>
    <t>jamoralc</t>
  </si>
  <si>
    <t>ljosemo</t>
  </si>
  <si>
    <t>anthocde</t>
  </si>
  <si>
    <t>rebemonn</t>
  </si>
  <si>
    <t>iricolla</t>
  </si>
  <si>
    <t>rickenjh</t>
  </si>
  <si>
    <t>gomeyaso</t>
  </si>
  <si>
    <t>altagmar</t>
  </si>
  <si>
    <t>egreconf</t>
  </si>
  <si>
    <t>fcaggian</t>
  </si>
  <si>
    <t>corldaqu</t>
  </si>
  <si>
    <t>wabrianj</t>
  </si>
  <si>
    <t>najeniel</t>
  </si>
  <si>
    <t>polanner</t>
  </si>
  <si>
    <t>pintyann</t>
  </si>
  <si>
    <t>corokkev</t>
  </si>
  <si>
    <t>wershawn</t>
  </si>
  <si>
    <t>moralrow</t>
  </si>
  <si>
    <t>xsantand</t>
  </si>
  <si>
    <t>joansany</t>
  </si>
  <si>
    <t>jatmarte</t>
  </si>
  <si>
    <t>tamileid</t>
  </si>
  <si>
    <t>gliqwada</t>
  </si>
  <si>
    <t>godaviel</t>
  </si>
  <si>
    <t>dzwrober</t>
  </si>
  <si>
    <t>agonzaez</t>
  </si>
  <si>
    <t>raymfuen</t>
  </si>
  <si>
    <t>ripollly</t>
  </si>
  <si>
    <t>sotchriu</t>
  </si>
  <si>
    <t>afrro</t>
  </si>
  <si>
    <t>sayabdie</t>
  </si>
  <si>
    <t>omaritzs</t>
  </si>
  <si>
    <t>seliasgo</t>
  </si>
  <si>
    <t>hqcesped</t>
  </si>
  <si>
    <t>nichdepi</t>
  </si>
  <si>
    <t>tirjazar</t>
  </si>
  <si>
    <t>juvville</t>
  </si>
  <si>
    <t>alfonnov</t>
  </si>
  <si>
    <t>kenwilln</t>
  </si>
  <si>
    <t>jaelboog</t>
  </si>
  <si>
    <t>angconcq</t>
  </si>
  <si>
    <t>ortzcris</t>
  </si>
  <si>
    <t>crisacom</t>
  </si>
  <si>
    <t>rrodryan</t>
  </si>
  <si>
    <t>lorbrydp</t>
  </si>
  <si>
    <t>marariaf</t>
  </si>
  <si>
    <t>kaiscotq</t>
  </si>
  <si>
    <t>mersancs</t>
  </si>
  <si>
    <t>rijessen</t>
  </si>
  <si>
    <t>reinsela</t>
  </si>
  <si>
    <t>colemagj</t>
  </si>
  <si>
    <t>channguz</t>
  </si>
  <si>
    <t>bryrohan</t>
  </si>
  <si>
    <t>madavial</t>
  </si>
  <si>
    <t>jjayshah</t>
  </si>
  <si>
    <t>gaetanyo</t>
  </si>
  <si>
    <t>rsajimen</t>
  </si>
  <si>
    <t>rmisiuri</t>
  </si>
  <si>
    <t>moodontk</t>
  </si>
  <si>
    <t>raldyceg</t>
  </si>
  <si>
    <t>comihaim</t>
  </si>
  <si>
    <t>quezsand</t>
  </si>
  <si>
    <t>avtafoll</t>
  </si>
  <si>
    <t>dyaander</t>
  </si>
  <si>
    <t>worlss</t>
  </si>
  <si>
    <t>ozmiguel</t>
  </si>
  <si>
    <t>roslaa</t>
  </si>
  <si>
    <t>almoraga</t>
  </si>
  <si>
    <t>antjorgn</t>
  </si>
  <si>
    <t>mildpozo</t>
  </si>
  <si>
    <t>sntpere</t>
  </si>
  <si>
    <t>bidfaisb</t>
  </si>
  <si>
    <t>zblyjust</t>
  </si>
  <si>
    <t>tonevaeh</t>
  </si>
  <si>
    <t>srodjesu</t>
  </si>
  <si>
    <t>morrjune</t>
  </si>
  <si>
    <t>ibyeashl</t>
  </si>
  <si>
    <t>lucergeo</t>
  </si>
  <si>
    <t>wmaldang</t>
  </si>
  <si>
    <t>gonzhdan</t>
  </si>
  <si>
    <t>isbperez</t>
  </si>
  <si>
    <t>fjafinch</t>
  </si>
  <si>
    <t>wifeathe</t>
  </si>
  <si>
    <t>lujesusy</t>
  </si>
  <si>
    <t>pernanet</t>
  </si>
  <si>
    <t>jcramere</t>
  </si>
  <si>
    <t>oterojop</t>
  </si>
  <si>
    <t>gomezlut</t>
  </si>
  <si>
    <t>jbmaldon</t>
  </si>
  <si>
    <t>gregshol</t>
  </si>
  <si>
    <t>nathlipi</t>
  </si>
  <si>
    <t>jerrjonb</t>
  </si>
  <si>
    <t>orsergel</t>
  </si>
  <si>
    <t>chojohan</t>
  </si>
  <si>
    <t>taboderr</t>
  </si>
  <si>
    <t>zbladere</t>
  </si>
  <si>
    <t>tetexani</t>
  </si>
  <si>
    <t>dierrodn</t>
  </si>
  <si>
    <t>gonzleoo</t>
  </si>
  <si>
    <t>tyleigwa</t>
  </si>
  <si>
    <t>jumelwin</t>
  </si>
  <si>
    <t>josgmora</t>
  </si>
  <si>
    <t>juannx</t>
  </si>
  <si>
    <t>yraylora</t>
  </si>
  <si>
    <t>nuneadon</t>
  </si>
  <si>
    <t>ordaviou</t>
  </si>
  <si>
    <t>rteysha</t>
  </si>
  <si>
    <t>carcamix</t>
  </si>
  <si>
    <t>bayaladk</t>
  </si>
  <si>
    <t>chriheru</t>
  </si>
  <si>
    <t>crumaarm</t>
  </si>
  <si>
    <t>drkeishl</t>
  </si>
  <si>
    <t>albinrja</t>
  </si>
  <si>
    <t>lauveton</t>
  </si>
  <si>
    <t>nrodjayl</t>
  </si>
  <si>
    <t>rcarrste</t>
  </si>
  <si>
    <t>trimadei</t>
  </si>
  <si>
    <t>maqjulio</t>
  </si>
  <si>
    <t>bluernes</t>
  </si>
  <si>
    <t>jelasami</t>
  </si>
  <si>
    <t>kriburks</t>
  </si>
  <si>
    <t>jorgsanp</t>
  </si>
  <si>
    <t>yaryaliz</t>
  </si>
  <si>
    <t>gonamjos</t>
  </si>
  <si>
    <t>melendbj</t>
  </si>
  <si>
    <t>poleligi</t>
  </si>
  <si>
    <t>domeller</t>
  </si>
  <si>
    <t>devqrosa</t>
  </si>
  <si>
    <t>mjaydowi</t>
  </si>
  <si>
    <t>joellycy</t>
  </si>
  <si>
    <t>caealbie</t>
  </si>
  <si>
    <t>srayrodr</t>
  </si>
  <si>
    <t>colonchg</t>
  </si>
  <si>
    <t>ocordbre</t>
  </si>
  <si>
    <t>ilunkare</t>
  </si>
  <si>
    <t>pasvivia</t>
  </si>
  <si>
    <t>gutixchr</t>
  </si>
  <si>
    <t>cintroij</t>
  </si>
  <si>
    <t>neilipin</t>
  </si>
  <si>
    <t>yazmpera</t>
  </si>
  <si>
    <t>uamejias</t>
  </si>
  <si>
    <t>nanimart</t>
  </si>
  <si>
    <t>cordwilf</t>
  </si>
  <si>
    <t>wmarkraj</t>
  </si>
  <si>
    <t>gonzjaxv</t>
  </si>
  <si>
    <t>santjdan</t>
  </si>
  <si>
    <t>yalejesp</t>
  </si>
  <si>
    <t>santanol</t>
  </si>
  <si>
    <t>alyalman</t>
  </si>
  <si>
    <t>lacorsol</t>
  </si>
  <si>
    <t>diazpnic</t>
  </si>
  <si>
    <t>gkismair</t>
  </si>
  <si>
    <t>collayud</t>
  </si>
  <si>
    <t>dantikin</t>
  </si>
  <si>
    <t>hernediv</t>
  </si>
  <si>
    <t>mrobemcg</t>
  </si>
  <si>
    <t>macolona</t>
  </si>
  <si>
    <t>rijoberz</t>
  </si>
  <si>
    <t>irobrona</t>
  </si>
  <si>
    <t>flabranb</t>
  </si>
  <si>
    <t>fermagal</t>
  </si>
  <si>
    <t>tineerik</t>
  </si>
  <si>
    <t>vjodisla</t>
  </si>
  <si>
    <t>ugonzaje</t>
  </si>
  <si>
    <t>martengi</t>
  </si>
  <si>
    <t>ashakriv</t>
  </si>
  <si>
    <t>samhernd</t>
  </si>
  <si>
    <t>anscoult</t>
  </si>
  <si>
    <t>angdehav</t>
  </si>
  <si>
    <t>aliswent</t>
  </si>
  <si>
    <t>yarafigu</t>
  </si>
  <si>
    <t>jaiveone</t>
  </si>
  <si>
    <t>rimarcow</t>
  </si>
  <si>
    <t>nadabreu</t>
  </si>
  <si>
    <t>moralyen</t>
  </si>
  <si>
    <t>anverax</t>
  </si>
  <si>
    <t>vgarcyel</t>
  </si>
  <si>
    <t>santksas</t>
  </si>
  <si>
    <t>cwlkiam</t>
  </si>
  <si>
    <t>trijeddy</t>
  </si>
  <si>
    <t>nmobraya</t>
  </si>
  <si>
    <t>jeidyg</t>
  </si>
  <si>
    <t>deleovie</t>
  </si>
  <si>
    <t>carogons</t>
  </si>
  <si>
    <t>yermrodr</t>
  </si>
  <si>
    <t>jacroblb</t>
  </si>
  <si>
    <t>lrosaedw</t>
  </si>
  <si>
    <t>kjusdura</t>
  </si>
  <si>
    <t>delcigie</t>
  </si>
  <si>
    <t>polaesca</t>
  </si>
  <si>
    <t>castimah</t>
  </si>
  <si>
    <t>madalyan</t>
  </si>
  <si>
    <t>peraltfj</t>
  </si>
  <si>
    <t>weslelop</t>
  </si>
  <si>
    <t>jossoteo</t>
  </si>
  <si>
    <t>shsenaec</t>
  </si>
  <si>
    <t>jeffjaid</t>
  </si>
  <si>
    <t>guzkeila</t>
  </si>
  <si>
    <t>joylanti</t>
  </si>
  <si>
    <t>ezrodrip</t>
  </si>
  <si>
    <t>deandala</t>
  </si>
  <si>
    <t>tolosaan</t>
  </si>
  <si>
    <t>edcolonf</t>
  </si>
  <si>
    <t>dekollam</t>
  </si>
  <si>
    <t>wildamiv</t>
  </si>
  <si>
    <t>jrijoshu</t>
  </si>
  <si>
    <t>devkcole</t>
  </si>
  <si>
    <t>jhectova</t>
  </si>
  <si>
    <t>brganton</t>
  </si>
  <si>
    <t>contreiz</t>
  </si>
  <si>
    <t>micdmytr</t>
  </si>
  <si>
    <t>seamccro</t>
  </si>
  <si>
    <t>overlyma</t>
  </si>
  <si>
    <t>eburkhat</t>
  </si>
  <si>
    <t>harvefel</t>
  </si>
  <si>
    <t>diazcrcr</t>
  </si>
  <si>
    <t>umonteod</t>
  </si>
  <si>
    <t>umileyal</t>
  </si>
  <si>
    <t>adalbcou</t>
  </si>
  <si>
    <t>hjonmart</t>
  </si>
  <si>
    <t>tormunoz</t>
  </si>
  <si>
    <t>jtalvar</t>
  </si>
  <si>
    <t>lotcolto</t>
  </si>
  <si>
    <t>allbcast</t>
  </si>
  <si>
    <t>moranyri</t>
  </si>
  <si>
    <t>rosarkec</t>
  </si>
  <si>
    <t>csaceden</t>
  </si>
  <si>
    <t>rleeannc</t>
  </si>
  <si>
    <t>mnadcolo</t>
  </si>
  <si>
    <t>buenokge</t>
  </si>
  <si>
    <t>scasbran</t>
  </si>
  <si>
    <t>aofernan</t>
  </si>
  <si>
    <t>hexencar</t>
  </si>
  <si>
    <t>cearodri</t>
  </si>
  <si>
    <t>jkkumer</t>
  </si>
  <si>
    <t>pgeronis</t>
  </si>
  <si>
    <t>adhvalen</t>
  </si>
  <si>
    <t>pgfamili</t>
  </si>
  <si>
    <t>albrodrn</t>
  </si>
  <si>
    <t>cepedces</t>
  </si>
  <si>
    <t>mcristik</t>
  </si>
  <si>
    <t>deajconn</t>
  </si>
  <si>
    <t>jeninper</t>
  </si>
  <si>
    <t>feliceri</t>
  </si>
  <si>
    <t>sabalbri</t>
  </si>
  <si>
    <t>santojed</t>
  </si>
  <si>
    <t>kevguzmn</t>
  </si>
  <si>
    <t>kiaratin</t>
  </si>
  <si>
    <t>llicathy</t>
  </si>
  <si>
    <t>covazach</t>
  </si>
  <si>
    <t>julgrayr</t>
  </si>
  <si>
    <t>genmatth</t>
  </si>
  <si>
    <t>rojasmge</t>
  </si>
  <si>
    <t>sylxmarc</t>
  </si>
  <si>
    <t>riveedgz</t>
  </si>
  <si>
    <t>baerans</t>
  </si>
  <si>
    <t>sarpruth</t>
  </si>
  <si>
    <t>bwilsste</t>
  </si>
  <si>
    <t>alashipe</t>
  </si>
  <si>
    <t>deandrwb</t>
  </si>
  <si>
    <t>licetpag</t>
  </si>
  <si>
    <t>diomedep</t>
  </si>
  <si>
    <t>xterreld</t>
  </si>
  <si>
    <t>gyoknune</t>
  </si>
  <si>
    <t>rosmesan</t>
  </si>
  <si>
    <t>pacsonia</t>
  </si>
  <si>
    <t>dpostel</t>
  </si>
  <si>
    <t>zlaraant</t>
  </si>
  <si>
    <t>vihlesli</t>
  </si>
  <si>
    <t>dimigrie</t>
  </si>
  <si>
    <t>aurventu</t>
  </si>
  <si>
    <t>ezashley</t>
  </si>
  <si>
    <t>endjimen</t>
  </si>
  <si>
    <t>habuitra</t>
  </si>
  <si>
    <t>prietann</t>
  </si>
  <si>
    <t>castkchr</t>
  </si>
  <si>
    <t>nedalayd</t>
  </si>
  <si>
    <t>margnanc</t>
  </si>
  <si>
    <t>jamcoleu</t>
  </si>
  <si>
    <t>tlopezry</t>
  </si>
  <si>
    <t>rsserob</t>
  </si>
  <si>
    <t>wilmirey</t>
  </si>
  <si>
    <t>mulerofr</t>
  </si>
  <si>
    <t>ehalrich</t>
  </si>
  <si>
    <t>lalvakri</t>
  </si>
  <si>
    <t>jmraquel</t>
  </si>
  <si>
    <t>mxzombro</t>
  </si>
  <si>
    <t>tromanje</t>
  </si>
  <si>
    <t>kgonjenn</t>
  </si>
  <si>
    <t>rnzlui</t>
  </si>
  <si>
    <t>jreimert</t>
  </si>
  <si>
    <t>burdjerr</t>
  </si>
  <si>
    <t>padmelvi</t>
  </si>
  <si>
    <t>nunnahom</t>
  </si>
  <si>
    <t>edeuceta</t>
  </si>
  <si>
    <t>madiazi</t>
  </si>
  <si>
    <t>chasehie</t>
  </si>
  <si>
    <t>axelcarm</t>
  </si>
  <si>
    <t>pieanso</t>
  </si>
  <si>
    <t>ortidame</t>
  </si>
  <si>
    <t>piangele</t>
  </si>
  <si>
    <t>alvcarli</t>
  </si>
  <si>
    <t>vviadame</t>
  </si>
  <si>
    <t>brashjam</t>
  </si>
  <si>
    <t>micfslau</t>
  </si>
  <si>
    <t>mkejohnn</t>
  </si>
  <si>
    <t>pineenge</t>
  </si>
  <si>
    <t>iriluisv</t>
  </si>
  <si>
    <t>vjhostin</t>
  </si>
  <si>
    <t>reinerjg</t>
  </si>
  <si>
    <t>wilmadhe</t>
  </si>
  <si>
    <t>mummerma</t>
  </si>
  <si>
    <t>choihe</t>
  </si>
  <si>
    <t>jaylfrit</t>
  </si>
  <si>
    <t>kgreeany</t>
  </si>
  <si>
    <t>jiwiniff</t>
  </si>
  <si>
    <t>mbeltrag</t>
  </si>
  <si>
    <t>roirizar</t>
  </si>
  <si>
    <t>adoniapo</t>
  </si>
  <si>
    <t>mrtizaa</t>
  </si>
  <si>
    <t>malditsi</t>
  </si>
  <si>
    <t>odestesa</t>
  </si>
  <si>
    <t>rodrtjoe</t>
  </si>
  <si>
    <t>giseilro</t>
  </si>
  <si>
    <t>garhelao</t>
  </si>
  <si>
    <t>ayanaech</t>
  </si>
  <si>
    <t>zsantcie</t>
  </si>
  <si>
    <t>deonanne</t>
  </si>
  <si>
    <t>vladiain</t>
  </si>
  <si>
    <t>dreschan</t>
  </si>
  <si>
    <t>wattleja</t>
  </si>
  <si>
    <t>wiwillib</t>
  </si>
  <si>
    <t>hidmiled</t>
  </si>
  <si>
    <t>vaiamand</t>
  </si>
  <si>
    <t>bcperez</t>
  </si>
  <si>
    <t>marixaor</t>
  </si>
  <si>
    <t>nuneendy</t>
  </si>
  <si>
    <t>ibeanner</t>
  </si>
  <si>
    <t>hecgaray</t>
  </si>
  <si>
    <t>quinobet</t>
  </si>
  <si>
    <t>lcmarcus</t>
  </si>
  <si>
    <t>duddyr</t>
  </si>
  <si>
    <t>moramagg</t>
  </si>
  <si>
    <t>zamunico</t>
  </si>
  <si>
    <t>isabelsg</t>
  </si>
  <si>
    <t>yairaram</t>
  </si>
  <si>
    <t>rubzpere</t>
  </si>
  <si>
    <t>chgerarg</t>
  </si>
  <si>
    <t>rosemdio</t>
  </si>
  <si>
    <t>writrego</t>
  </si>
  <si>
    <t>jameiain</t>
  </si>
  <si>
    <t>gomgjose</t>
  </si>
  <si>
    <t>crunvane</t>
  </si>
  <si>
    <t>qumorgar</t>
  </si>
  <si>
    <t>maglennv</t>
  </si>
  <si>
    <t>dalwycas</t>
  </si>
  <si>
    <t>eipichar</t>
  </si>
  <si>
    <t>junipich</t>
  </si>
  <si>
    <t>jabmyers</t>
  </si>
  <si>
    <t>yeisocap</t>
  </si>
  <si>
    <t>mcastval</t>
  </si>
  <si>
    <t>cherespi</t>
  </si>
  <si>
    <t>gelpbrad</t>
  </si>
  <si>
    <t>emmanzri</t>
  </si>
  <si>
    <t>dougheah</t>
  </si>
  <si>
    <t>dmamcdan</t>
  </si>
  <si>
    <t>amillcol</t>
  </si>
  <si>
    <t>vricriv</t>
  </si>
  <si>
    <t>ramosmem</t>
  </si>
  <si>
    <t>ggonanak</t>
  </si>
  <si>
    <t>jamileyo</t>
  </si>
  <si>
    <t>weikeleo</t>
  </si>
  <si>
    <t>quinkasa</t>
  </si>
  <si>
    <t>asherifj</t>
  </si>
  <si>
    <t>wsanchri</t>
  </si>
  <si>
    <t>antqsanc</t>
  </si>
  <si>
    <t>sprselen</t>
  </si>
  <si>
    <t>rnaneysh</t>
  </si>
  <si>
    <t>mattgant</t>
  </si>
  <si>
    <t>cueheidi</t>
  </si>
  <si>
    <t>ahernais</t>
  </si>
  <si>
    <t>mayyavil</t>
  </si>
  <si>
    <t>looriver</t>
  </si>
  <si>
    <t>jeffepaa</t>
  </si>
  <si>
    <t>bradsoto</t>
  </si>
  <si>
    <t>ramoluid</t>
  </si>
  <si>
    <t>danhiest</t>
  </si>
  <si>
    <t>fannyriv</t>
  </si>
  <si>
    <t>angerop</t>
  </si>
  <si>
    <t>ugonzsam</t>
  </si>
  <si>
    <t>lopzhqi</t>
  </si>
  <si>
    <t>oberheim</t>
  </si>
  <si>
    <t>pnasrodr</t>
  </si>
  <si>
    <t>beachelp</t>
  </si>
  <si>
    <t>jangecru</t>
  </si>
  <si>
    <t>aacrumbi</t>
  </si>
  <si>
    <t>yahaisad</t>
  </si>
  <si>
    <t>ctylerru</t>
  </si>
  <si>
    <t>oswnleon</t>
  </si>
  <si>
    <t>larosmer</t>
  </si>
  <si>
    <t>njuliora</t>
  </si>
  <si>
    <t>cunnikim</t>
  </si>
  <si>
    <t>dilcitor</t>
  </si>
  <si>
    <t>arrofavi</t>
  </si>
  <si>
    <t>jordycak</t>
  </si>
  <si>
    <t>besnatas</t>
  </si>
  <si>
    <t>destiorp</t>
  </si>
  <si>
    <t>raqbueno</t>
  </si>
  <si>
    <t>fernauro</t>
  </si>
  <si>
    <t>heckmaal</t>
  </si>
  <si>
    <t>ageralmo</t>
  </si>
  <si>
    <t>viiarman</t>
  </si>
  <si>
    <t>jarpenal</t>
  </si>
  <si>
    <t>scrichal</t>
  </si>
  <si>
    <t>rdkrista</t>
  </si>
  <si>
    <t>chrrohrb</t>
  </si>
  <si>
    <t>cairmari</t>
  </si>
  <si>
    <t>carlwro</t>
  </si>
  <si>
    <t>alsalday</t>
  </si>
  <si>
    <t>keilaxto</t>
  </si>
  <si>
    <t>santigma</t>
  </si>
  <si>
    <t>knehunte</t>
  </si>
  <si>
    <t>hletirey</t>
  </si>
  <si>
    <t>kiencory</t>
  </si>
  <si>
    <t>taniagag</t>
  </si>
  <si>
    <t>omarsyke</t>
  </si>
  <si>
    <t>ridarled</t>
  </si>
  <si>
    <t>rosanggu</t>
  </si>
  <si>
    <t>micestei</t>
  </si>
  <si>
    <t>sluconce</t>
  </si>
  <si>
    <t>janurena</t>
  </si>
  <si>
    <t>tayquagr</t>
  </si>
  <si>
    <t>konnebba</t>
  </si>
  <si>
    <t>shnewmin</t>
  </si>
  <si>
    <t>shjwashi</t>
  </si>
  <si>
    <t>bainjahy</t>
  </si>
  <si>
    <t>stepilop</t>
  </si>
  <si>
    <t>marthasu</t>
  </si>
  <si>
    <t>orlbonif</t>
  </si>
  <si>
    <t>nathlapp</t>
  </si>
  <si>
    <t>cogalvin</t>
  </si>
  <si>
    <t>innoyosh</t>
  </si>
  <si>
    <t>camargye</t>
  </si>
  <si>
    <t>marierok</t>
  </si>
  <si>
    <t>ibirosto</t>
  </si>
  <si>
    <t>tobkiara</t>
  </si>
  <si>
    <t>santorph</t>
  </si>
  <si>
    <t>clebrigi</t>
  </si>
  <si>
    <t>prkiwil</t>
  </si>
  <si>
    <t>iglesola</t>
  </si>
  <si>
    <t>austilrh</t>
  </si>
  <si>
    <t>ramjrosa</t>
  </si>
  <si>
    <t>hledesmj</t>
  </si>
  <si>
    <t>gizarany</t>
  </si>
  <si>
    <t>czavalag</t>
  </si>
  <si>
    <t>zmoiseso</t>
  </si>
  <si>
    <t>jorqacos</t>
  </si>
  <si>
    <t>wperezan</t>
  </si>
  <si>
    <t>miestevr</t>
  </si>
  <si>
    <t>ryagrim</t>
  </si>
  <si>
    <t>donzmorr</t>
  </si>
  <si>
    <t>bautfana</t>
  </si>
  <si>
    <t>qbgenesi</t>
  </si>
  <si>
    <t>reyhalme</t>
  </si>
  <si>
    <t>dalwgome</t>
  </si>
  <si>
    <t>mobechm</t>
  </si>
  <si>
    <t>ynashant</t>
  </si>
  <si>
    <t>baejoesk</t>
  </si>
  <si>
    <t>xyaritza</t>
  </si>
  <si>
    <t>ruvsamue</t>
  </si>
  <si>
    <t>bsantiai</t>
  </si>
  <si>
    <t>jwhitcas</t>
  </si>
  <si>
    <t>nomaoper</t>
  </si>
  <si>
    <t>ramozorl</t>
  </si>
  <si>
    <t>kjavdiaz</t>
  </si>
  <si>
    <t>migeisin</t>
  </si>
  <si>
    <t>pachomar</t>
  </si>
  <si>
    <t>csosagon</t>
  </si>
  <si>
    <t>aniaungs</t>
  </si>
  <si>
    <t>juliflop</t>
  </si>
  <si>
    <t>misaemin</t>
  </si>
  <si>
    <t>lcardped</t>
  </si>
  <si>
    <t>paynejov</t>
  </si>
  <si>
    <t>texidowr</t>
  </si>
  <si>
    <t>velduver</t>
  </si>
  <si>
    <t>ruijna</t>
  </si>
  <si>
    <t>pflomari</t>
  </si>
  <si>
    <t>merossyd</t>
  </si>
  <si>
    <t>adrimcne</t>
  </si>
  <si>
    <t>arodriw</t>
  </si>
  <si>
    <t>diapalph</t>
  </si>
  <si>
    <t>vjordany</t>
  </si>
  <si>
    <t>bilosorg</t>
  </si>
  <si>
    <t>josnarie</t>
  </si>
  <si>
    <t>sanqjess</t>
  </si>
  <si>
    <t>oconntch</t>
  </si>
  <si>
    <t>damadise</t>
  </si>
  <si>
    <t>clevifel</t>
  </si>
  <si>
    <t>oreasosu</t>
  </si>
  <si>
    <t>judenper</t>
  </si>
  <si>
    <t>gianrivl</t>
  </si>
  <si>
    <t>pantoeli</t>
  </si>
  <si>
    <t>scoymark</t>
  </si>
  <si>
    <t>luvjusty</t>
  </si>
  <si>
    <t>webbeer</t>
  </si>
  <si>
    <t>mojessiq</t>
  </si>
  <si>
    <t>ticejame</t>
  </si>
  <si>
    <t>isamdmar</t>
  </si>
  <si>
    <t>josuanot</t>
  </si>
  <si>
    <t>envielop</t>
  </si>
  <si>
    <t>psavanwi</t>
  </si>
  <si>
    <t>sistacyt</t>
  </si>
  <si>
    <t>frymonic</t>
  </si>
  <si>
    <t>ygrecale</t>
  </si>
  <si>
    <t>marwilbe</t>
  </si>
  <si>
    <t>fanyelin</t>
  </si>
  <si>
    <t>gbensara</t>
  </si>
  <si>
    <t>batialvi</t>
  </si>
  <si>
    <t>alvrhenr</t>
  </si>
  <si>
    <t>yeiscaba</t>
  </si>
  <si>
    <t>tvaldovi</t>
  </si>
  <si>
    <t>granadfm</t>
  </si>
  <si>
    <t>kaacasti</t>
  </si>
  <si>
    <t>almaresm</t>
  </si>
  <si>
    <t>wyudelop</t>
  </si>
  <si>
    <t>cabycaro</t>
  </si>
  <si>
    <t>santqari</t>
  </si>
  <si>
    <t>oscarpep</t>
  </si>
  <si>
    <t>rhyknarr</t>
  </si>
  <si>
    <t>alypfern</t>
  </si>
  <si>
    <t>danregni</t>
  </si>
  <si>
    <t>allshatt</t>
  </si>
  <si>
    <t>jonatsao</t>
  </si>
  <si>
    <t>qaguiler</t>
  </si>
  <si>
    <t>frosarlv</t>
  </si>
  <si>
    <t>bencande</t>
  </si>
  <si>
    <t>colbtayl</t>
  </si>
  <si>
    <t>yespinoe</t>
  </si>
  <si>
    <t>dwibasni</t>
  </si>
  <si>
    <t>kiaravpr</t>
  </si>
  <si>
    <t>caitlco</t>
  </si>
  <si>
    <t>rutoshan</t>
  </si>
  <si>
    <t>sbrgarre</t>
  </si>
  <si>
    <t>ibrdesid</t>
  </si>
  <si>
    <t>rosjacoq</t>
  </si>
  <si>
    <t>joandnun</t>
  </si>
  <si>
    <t>janetlyk</t>
  </si>
  <si>
    <t>wjoereed</t>
  </si>
  <si>
    <t>jaelysfl</t>
  </si>
  <si>
    <t>melbriri</t>
  </si>
  <si>
    <t>wnicambu</t>
  </si>
  <si>
    <t>karbmatt</t>
  </si>
  <si>
    <t>navesang</t>
  </si>
  <si>
    <t>montinon</t>
  </si>
  <si>
    <t>kienmatt</t>
  </si>
  <si>
    <t>morgimik</t>
  </si>
  <si>
    <t>llanjosa</t>
  </si>
  <si>
    <t>benderat</t>
  </si>
  <si>
    <t>fettderr</t>
  </si>
  <si>
    <t>carlqmat</t>
  </si>
  <si>
    <t>jprejord</t>
  </si>
  <si>
    <t>wnolorad</t>
  </si>
  <si>
    <t>druckdav</t>
  </si>
  <si>
    <t>sydngreg</t>
  </si>
  <si>
    <t>marterei</t>
  </si>
  <si>
    <t>aubraubr</t>
  </si>
  <si>
    <t>fwillcar</t>
  </si>
  <si>
    <t>tnicogom</t>
  </si>
  <si>
    <t>aridaa</t>
  </si>
  <si>
    <t>matoferm</t>
  </si>
  <si>
    <t>idenncom</t>
  </si>
  <si>
    <t>zcintiah</t>
  </si>
  <si>
    <t>lleeorti</t>
  </si>
  <si>
    <t>devipfla</t>
  </si>
  <si>
    <t>tobysher</t>
  </si>
  <si>
    <t>davdanaj</t>
  </si>
  <si>
    <t>namsanta</t>
  </si>
  <si>
    <t>lkkellar</t>
  </si>
  <si>
    <t>rojasdah</t>
  </si>
  <si>
    <t>fhollchr</t>
  </si>
  <si>
    <t>alemorw</t>
  </si>
  <si>
    <t>lauradva</t>
  </si>
  <si>
    <t>zehezach</t>
  </si>
  <si>
    <t>stechavd</t>
  </si>
  <si>
    <t>narvlino</t>
  </si>
  <si>
    <t>brunsand</t>
  </si>
  <si>
    <t>ndzwonch</t>
  </si>
  <si>
    <t>laqlauri</t>
  </si>
  <si>
    <t>yahadele</t>
  </si>
  <si>
    <t>srosaliz</t>
  </si>
  <si>
    <t>imedinjo</t>
  </si>
  <si>
    <t>mendivda</t>
  </si>
  <si>
    <t>doortzm</t>
  </si>
  <si>
    <t>ledesmrh</t>
  </si>
  <si>
    <t>edeyanio</t>
  </si>
  <si>
    <t>gomeegua</t>
  </si>
  <si>
    <t>eroroche</t>
  </si>
  <si>
    <t>yalchern</t>
  </si>
  <si>
    <t>icfontan</t>
  </si>
  <si>
    <t>johnydes</t>
  </si>
  <si>
    <t>localviq</t>
  </si>
  <si>
    <t>pitskor</t>
  </si>
  <si>
    <t>joxlaram</t>
  </si>
  <si>
    <t>othuoa</t>
  </si>
  <si>
    <t>stecheya</t>
  </si>
  <si>
    <t>isacuenc</t>
  </si>
  <si>
    <t>areinbos</t>
  </si>
  <si>
    <t>saundshy</t>
  </si>
  <si>
    <t>jemurcia</t>
  </si>
  <si>
    <t>mergarco</t>
  </si>
  <si>
    <t>eedwarja</t>
  </si>
  <si>
    <t>villemm</t>
  </si>
  <si>
    <t>diazherf</t>
  </si>
  <si>
    <t>garmamak</t>
  </si>
  <si>
    <t>nriveray</t>
  </si>
  <si>
    <t>fancresp</t>
  </si>
  <si>
    <t>lppujo</t>
  </si>
  <si>
    <t>qmlarenz</t>
  </si>
  <si>
    <t>edvuvill</t>
  </si>
  <si>
    <t>georminc</t>
  </si>
  <si>
    <t>xhilemic</t>
  </si>
  <si>
    <t>pearohan</t>
  </si>
  <si>
    <t>jaimmcas</t>
  </si>
  <si>
    <t>rodrestk</t>
  </si>
  <si>
    <t>amairarm</t>
  </si>
  <si>
    <t>stevstey</t>
  </si>
  <si>
    <t>vilemely</t>
  </si>
  <si>
    <t>teoddele</t>
  </si>
  <si>
    <t>gclarine</t>
  </si>
  <si>
    <t>sbrootiz</t>
  </si>
  <si>
    <t>nashaacn</t>
  </si>
  <si>
    <t>kmenet</t>
  </si>
  <si>
    <t>aesqcarl</t>
  </si>
  <si>
    <t>jotorrec</t>
  </si>
  <si>
    <t>lidiabre</t>
  </si>
  <si>
    <t>rivaszad</t>
  </si>
  <si>
    <t>ujustisa</t>
  </si>
  <si>
    <t>madrakow</t>
  </si>
  <si>
    <t>miquemen</t>
  </si>
  <si>
    <t>kmajeffe</t>
  </si>
  <si>
    <t>burdidan</t>
  </si>
  <si>
    <t>jayviebe</t>
  </si>
  <si>
    <t>mdanielx</t>
  </si>
  <si>
    <t>egenaode</t>
  </si>
  <si>
    <t>woodwaps</t>
  </si>
  <si>
    <t>jonreyee</t>
  </si>
  <si>
    <t>sorkiara</t>
  </si>
  <si>
    <t>xriverod</t>
  </si>
  <si>
    <t>wyetavar</t>
  </si>
  <si>
    <t>rorkinnc</t>
  </si>
  <si>
    <t>jcarrert</t>
  </si>
  <si>
    <t>dgmarcus</t>
  </si>
  <si>
    <t>franzcab</t>
  </si>
  <si>
    <t>willsnaz</t>
  </si>
  <si>
    <t>alfrefhe</t>
  </si>
  <si>
    <t>tantmar</t>
  </si>
  <si>
    <t>kjusthom</t>
  </si>
  <si>
    <t>melejohm</t>
  </si>
  <si>
    <t>lucemmao</t>
  </si>
  <si>
    <t>baeztmar</t>
  </si>
  <si>
    <t>tpaganjo</t>
  </si>
  <si>
    <t>rherrami</t>
  </si>
  <si>
    <t>trcennis</t>
  </si>
  <si>
    <t>vgunaida</t>
  </si>
  <si>
    <t>gelantho</t>
  </si>
  <si>
    <t>ebonyiwo</t>
  </si>
  <si>
    <t>gjoselic</t>
  </si>
  <si>
    <t>joviarey</t>
  </si>
  <si>
    <t>mmichecl</t>
  </si>
  <si>
    <t>villjaha</t>
  </si>
  <si>
    <t>amrodrim</t>
  </si>
  <si>
    <t>samillan</t>
  </si>
  <si>
    <t>gleeilan</t>
  </si>
  <si>
    <t>daniebld</t>
  </si>
  <si>
    <t>rsmilarr</t>
  </si>
  <si>
    <t>seforino</t>
  </si>
  <si>
    <t>espfatim</t>
  </si>
  <si>
    <t>adoherre</t>
  </si>
  <si>
    <t>xtarsall</t>
  </si>
  <si>
    <t>romumarg</t>
  </si>
  <si>
    <t>gabripax</t>
  </si>
  <si>
    <t>deleonea</t>
  </si>
  <si>
    <t>ricojayd</t>
  </si>
  <si>
    <t>arlinmba</t>
  </si>
  <si>
    <t>dzimmmat</t>
  </si>
  <si>
    <t>dsantiax</t>
  </si>
  <si>
    <t>kjosifel</t>
  </si>
  <si>
    <t>ianmaldo</t>
  </si>
  <si>
    <t>moranovi</t>
  </si>
  <si>
    <t>elizugon</t>
  </si>
  <si>
    <t>pbbibawa</t>
  </si>
  <si>
    <t>kabreuck</t>
  </si>
  <si>
    <t>rpagmich</t>
  </si>
  <si>
    <t>margonzm</t>
  </si>
  <si>
    <t>palaciim</t>
  </si>
  <si>
    <t>katrbart</t>
  </si>
  <si>
    <t>brayvmar</t>
  </si>
  <si>
    <t>denmcast</t>
  </si>
  <si>
    <t>tyutorib</t>
  </si>
  <si>
    <t>mubonnie</t>
  </si>
  <si>
    <t>timbetyl</t>
  </si>
  <si>
    <t>jacdjeff</t>
  </si>
  <si>
    <t>watsplyn</t>
  </si>
  <si>
    <t>smedanya</t>
  </si>
  <si>
    <t>yarisrew</t>
  </si>
  <si>
    <t>hacgonza</t>
  </si>
  <si>
    <t>bensinat</t>
  </si>
  <si>
    <t>filpodes</t>
  </si>
  <si>
    <t>giljmart</t>
  </si>
  <si>
    <t>marqdiap</t>
  </si>
  <si>
    <t>tojuliux</t>
  </si>
  <si>
    <t>alfrball</t>
  </si>
  <si>
    <t>gremyrti</t>
  </si>
  <si>
    <t>jamnagyj</t>
  </si>
  <si>
    <t>amnwar</t>
  </si>
  <si>
    <t>maleguis</t>
  </si>
  <si>
    <t>krifclar</t>
  </si>
  <si>
    <t>leonetej</t>
  </si>
  <si>
    <t>reyerjoh</t>
  </si>
  <si>
    <t>branleef</t>
  </si>
  <si>
    <t>uowedrag</t>
  </si>
  <si>
    <t>jsantank</t>
  </si>
  <si>
    <t>rwcarmen</t>
  </si>
  <si>
    <t>antscarr</t>
  </si>
  <si>
    <t>nicveres</t>
  </si>
  <si>
    <t>nathmohn</t>
  </si>
  <si>
    <t>thomldoa</t>
  </si>
  <si>
    <t>eramatla</t>
  </si>
  <si>
    <t>lisaroet</t>
  </si>
  <si>
    <t>stevchrz</t>
  </si>
  <si>
    <t>xjazmier</t>
  </si>
  <si>
    <t>miaserra</t>
  </si>
  <si>
    <t>ratlyasm</t>
  </si>
  <si>
    <t>mmatutel</t>
  </si>
  <si>
    <t>fieccore</t>
  </si>
  <si>
    <t>lugoiraf</t>
  </si>
  <si>
    <t>yurgrate</t>
  </si>
  <si>
    <t>karynavt</t>
  </si>
  <si>
    <t>silvtorn</t>
  </si>
  <si>
    <t>lbencojo</t>
  </si>
  <si>
    <t>belmonlu</t>
  </si>
  <si>
    <t>crandrev</t>
  </si>
  <si>
    <t>keefkyla</t>
  </si>
  <si>
    <t>josblocs</t>
  </si>
  <si>
    <t>ygomdann</t>
  </si>
  <si>
    <t>barrcamn</t>
  </si>
  <si>
    <t>bettyspi</t>
  </si>
  <si>
    <t>cisnenjo</t>
  </si>
  <si>
    <t>rivdjord</t>
  </si>
  <si>
    <t>uanthoni</t>
  </si>
  <si>
    <t>copertjo</t>
  </si>
  <si>
    <t>jedeleov</t>
  </si>
  <si>
    <t>biancorn</t>
  </si>
  <si>
    <t>lzuthier</t>
  </si>
  <si>
    <t>crislyma</t>
  </si>
  <si>
    <t>cydneowe</t>
  </si>
  <si>
    <t>cyruscol</t>
  </si>
  <si>
    <t>hgermanz</t>
  </si>
  <si>
    <t>kilviogu</t>
  </si>
  <si>
    <t>giorodrn</t>
  </si>
  <si>
    <t>delackel</t>
  </si>
  <si>
    <t>lopetwal</t>
  </si>
  <si>
    <t>morallur</t>
  </si>
  <si>
    <t>mmafiord</t>
  </si>
  <si>
    <t>lpargary</t>
  </si>
  <si>
    <t>munemmas</t>
  </si>
  <si>
    <t>bkinjosh</t>
  </si>
  <si>
    <t>alfrutos</t>
  </si>
  <si>
    <t>wilsiluk</t>
  </si>
  <si>
    <t>pcruzman</t>
  </si>
  <si>
    <t>urermari</t>
  </si>
  <si>
    <t>vicejona</t>
  </si>
  <si>
    <t>meritsan</t>
  </si>
  <si>
    <t>vsantwai</t>
  </si>
  <si>
    <t>vdillkis</t>
  </si>
  <si>
    <t>dilsomak</t>
  </si>
  <si>
    <t>munraine</t>
  </si>
  <si>
    <t>kmayrelg</t>
  </si>
  <si>
    <t>santbrim</t>
  </si>
  <si>
    <t>fiverush</t>
  </si>
  <si>
    <t>jowandis</t>
  </si>
  <si>
    <t>ialondro</t>
  </si>
  <si>
    <t>rickgsol</t>
  </si>
  <si>
    <t>serrredu</t>
  </si>
  <si>
    <t>mapenacs</t>
  </si>
  <si>
    <t>acostaxb</t>
  </si>
  <si>
    <t>conyahel</t>
  </si>
  <si>
    <t>wramiale</t>
  </si>
  <si>
    <t>eriverac</t>
  </si>
  <si>
    <t>kjuliher</t>
  </si>
  <si>
    <t>vicpicha</t>
  </si>
  <si>
    <t>yeitcaro</t>
  </si>
  <si>
    <t>ttineron</t>
  </si>
  <si>
    <t>sperosen</t>
  </si>
  <si>
    <t>jamekeim</t>
  </si>
  <si>
    <t>jgonzjai</t>
  </si>
  <si>
    <t>gmendozm</t>
  </si>
  <si>
    <t>kateuriv</t>
  </si>
  <si>
    <t>pfrederl</t>
  </si>
  <si>
    <t>anebling</t>
  </si>
  <si>
    <t>neftaoor</t>
  </si>
  <si>
    <t>leilrobo</t>
  </si>
  <si>
    <t>bobadfi</t>
  </si>
  <si>
    <t>agarale</t>
  </si>
  <si>
    <t>gaarelij</t>
  </si>
  <si>
    <t>gfbreann</t>
  </si>
  <si>
    <t>omjarlin</t>
  </si>
  <si>
    <t>sancchrj</t>
  </si>
  <si>
    <t>eefraidi</t>
  </si>
  <si>
    <t>drewehas</t>
  </si>
  <si>
    <t>rubcosmj</t>
  </si>
  <si>
    <t>villrayq</t>
  </si>
  <si>
    <t>udangood</t>
  </si>
  <si>
    <t>marlcree</t>
  </si>
  <si>
    <t>daniehgi</t>
  </si>
  <si>
    <t>marjobaz</t>
  </si>
  <si>
    <t>armannye</t>
  </si>
  <si>
    <t>rossedom</t>
  </si>
  <si>
    <t>pearlenb</t>
  </si>
  <si>
    <t>calkathe</t>
  </si>
  <si>
    <t>miguevam</t>
  </si>
  <si>
    <t>durvjosh</t>
  </si>
  <si>
    <t>torrsnel</t>
  </si>
  <si>
    <t>robevelh</t>
  </si>
  <si>
    <t>omatafol</t>
  </si>
  <si>
    <t>morasala</t>
  </si>
  <si>
    <t>melvinzo</t>
  </si>
  <si>
    <t>jlseyyon</t>
  </si>
  <si>
    <t>jennqsot</t>
  </si>
  <si>
    <t>smedrjes</t>
  </si>
  <si>
    <t>nichhvel</t>
  </si>
  <si>
    <t>elizpagb</t>
  </si>
  <si>
    <t>deasiriv</t>
  </si>
  <si>
    <t>bjelopez</t>
  </si>
  <si>
    <t>ylugosan</t>
  </si>
  <si>
    <t>naljorge</t>
  </si>
  <si>
    <t>kwittnic</t>
  </si>
  <si>
    <t>davisgud</t>
  </si>
  <si>
    <t>perezerg</t>
  </si>
  <si>
    <t>taismart</t>
  </si>
  <si>
    <t>mshavert</t>
  </si>
  <si>
    <t>yanextor</t>
  </si>
  <si>
    <t>byurmora</t>
  </si>
  <si>
    <t>pagojose</t>
  </si>
  <si>
    <t>edgonzat</t>
  </si>
  <si>
    <t>martamav</t>
  </si>
  <si>
    <t>pendenny</t>
  </si>
  <si>
    <t>sarilenp</t>
  </si>
  <si>
    <t>wirtskei</t>
  </si>
  <si>
    <t>nicolrro</t>
  </si>
  <si>
    <t>yamiaced</t>
  </si>
  <si>
    <t>kdanleon</t>
  </si>
  <si>
    <t>tadestiw</t>
  </si>
  <si>
    <t>javnhanl</t>
  </si>
  <si>
    <t>robbilyb</t>
  </si>
  <si>
    <t>awlittle</t>
  </si>
  <si>
    <t>montalwb</t>
  </si>
  <si>
    <t>ovilfeli</t>
  </si>
  <si>
    <t>ckimbert</t>
  </si>
  <si>
    <t>casalesp</t>
  </si>
  <si>
    <t>rhodeszy</t>
  </si>
  <si>
    <t>zcareber</t>
  </si>
  <si>
    <t>lisbetpl</t>
  </si>
  <si>
    <t>penorica</t>
  </si>
  <si>
    <t>finnajac</t>
  </si>
  <si>
    <t>ymcmahbr</t>
  </si>
  <si>
    <t>npifranc</t>
  </si>
  <si>
    <t>ortegkeu</t>
  </si>
  <si>
    <t>rivpn</t>
  </si>
  <si>
    <t>enctanic</t>
  </si>
  <si>
    <t>isantjoh</t>
  </si>
  <si>
    <t>rosannbe</t>
  </si>
  <si>
    <t>esteisg</t>
  </si>
  <si>
    <t>garjenns</t>
  </si>
  <si>
    <t>murrljus</t>
  </si>
  <si>
    <t>ojennifp</t>
  </si>
  <si>
    <t>reesripa</t>
  </si>
  <si>
    <t>tymorric</t>
  </si>
  <si>
    <t>qnayelin</t>
  </si>
  <si>
    <t>erodsara</t>
  </si>
  <si>
    <t>wmendant</t>
  </si>
  <si>
    <t>desswinn</t>
  </si>
  <si>
    <t>vasqbets</t>
  </si>
  <si>
    <t>pdiazcol</t>
  </si>
  <si>
    <t>cchrimen</t>
  </si>
  <si>
    <t>bfioldal</t>
  </si>
  <si>
    <t>dchaconm</t>
  </si>
  <si>
    <t>cabalbue</t>
  </si>
  <si>
    <t>xejerrad</t>
  </si>
  <si>
    <t>matojosw</t>
  </si>
  <si>
    <t>hpecrism</t>
  </si>
  <si>
    <t>carloolo</t>
  </si>
  <si>
    <t>braquele</t>
  </si>
  <si>
    <t>maonoryk</t>
  </si>
  <si>
    <t>kjohjoof</t>
  </si>
  <si>
    <t>rcorisor</t>
  </si>
  <si>
    <t>jowgon</t>
  </si>
  <si>
    <t>filposeb</t>
  </si>
  <si>
    <t>unuderek</t>
  </si>
  <si>
    <t>isrehern</t>
  </si>
  <si>
    <t>guerangm</t>
  </si>
  <si>
    <t>ricosier</t>
  </si>
  <si>
    <t>delabbad</t>
  </si>
  <si>
    <t>caaleysh</t>
  </si>
  <si>
    <t>lennbenc</t>
  </si>
  <si>
    <t>matirodn</t>
  </si>
  <si>
    <t>damokroy</t>
  </si>
  <si>
    <t>fecjerry</t>
  </si>
  <si>
    <t>reinobra</t>
  </si>
  <si>
    <t>mildrrui</t>
  </si>
  <si>
    <t>diazdbra</t>
  </si>
  <si>
    <t>ogondani</t>
  </si>
  <si>
    <t>mcolonhe</t>
  </si>
  <si>
    <t>derruiz</t>
  </si>
  <si>
    <t>acejoseh</t>
  </si>
  <si>
    <t>dcastred</t>
  </si>
  <si>
    <t>malqaqui</t>
  </si>
  <si>
    <t>demmadau</t>
  </si>
  <si>
    <t>nalhicks</t>
  </si>
  <si>
    <t>alexrojz</t>
  </si>
  <si>
    <t>mtaricky</t>
  </si>
  <si>
    <t>dusdough</t>
  </si>
  <si>
    <t>grebeltr</t>
  </si>
  <si>
    <t>yokarmer</t>
  </si>
  <si>
    <t>bellclat</t>
  </si>
  <si>
    <t>kathegad</t>
  </si>
  <si>
    <t>casjirle</t>
  </si>
  <si>
    <t>navarrsh</t>
  </si>
  <si>
    <t>crystuto</t>
  </si>
  <si>
    <t>josdelvp</t>
  </si>
  <si>
    <t>kuhricha</t>
  </si>
  <si>
    <t>noyolmel</t>
  </si>
  <si>
    <t>ldelroan</t>
  </si>
  <si>
    <t>thomfrag</t>
  </si>
  <si>
    <t>vizcairo</t>
  </si>
  <si>
    <t>mejrando</t>
  </si>
  <si>
    <t>claussn</t>
  </si>
  <si>
    <t>juangomb</t>
  </si>
  <si>
    <t>marrfrau</t>
  </si>
  <si>
    <t>asotonun</t>
  </si>
  <si>
    <t>emiliaov</t>
  </si>
  <si>
    <t>pedrosja</t>
  </si>
  <si>
    <t>miheath</t>
  </si>
  <si>
    <t>pgustgon</t>
  </si>
  <si>
    <t>rojahmiy</t>
  </si>
  <si>
    <t>ruizcobr</t>
  </si>
  <si>
    <t>pcristoe</t>
  </si>
  <si>
    <t>vcarljim</t>
  </si>
  <si>
    <t>geisinma</t>
  </si>
  <si>
    <t>rincjohe</t>
  </si>
  <si>
    <t>ajonabue</t>
  </si>
  <si>
    <t>meloemmu</t>
  </si>
  <si>
    <t>drequ</t>
  </si>
  <si>
    <t>torresow</t>
  </si>
  <si>
    <t>grodkelv</t>
  </si>
  <si>
    <t>joselauh</t>
  </si>
  <si>
    <t>clintofa</t>
  </si>
  <si>
    <t>STOW (PIT)</t>
  </si>
  <si>
    <t>Pick (PIT)</t>
  </si>
  <si>
    <t>Center Rider (PIT)</t>
  </si>
  <si>
    <t>Turret (PIT)</t>
  </si>
  <si>
    <t>Clamp Truck (PIT)</t>
  </si>
  <si>
    <t>IB Tugger (PIT)</t>
  </si>
  <si>
    <t>OB Tugger (PIT)</t>
  </si>
  <si>
    <t>Tugger - Bus Route (PIT)</t>
  </si>
  <si>
    <t>OB Fork Lift (PIT)</t>
  </si>
  <si>
    <t>IB Fork Lift (PIT)</t>
  </si>
  <si>
    <t>IB PA</t>
  </si>
  <si>
    <t>IB PG (Dock)</t>
  </si>
  <si>
    <t>IB Jam Clear (Dock)</t>
  </si>
  <si>
    <t>OB Jam Clear (Dock)</t>
  </si>
  <si>
    <t>De-Stuffit (Dock)</t>
  </si>
  <si>
    <t>IB Line Load (Dock)</t>
  </si>
  <si>
    <t>Cage Build (Dock)</t>
  </si>
  <si>
    <t>IB Line Load WS (Dock)</t>
  </si>
  <si>
    <t>Cage Build WS (Dock</t>
  </si>
  <si>
    <t>OB Line Load (Dock)</t>
  </si>
  <si>
    <t>OB Line Load WS (Dock)</t>
  </si>
  <si>
    <t>QA Scanner (Dock)</t>
  </si>
  <si>
    <t>Grey Totes WS</t>
  </si>
  <si>
    <t>Palletize (Dock)</t>
  </si>
  <si>
    <t>Palletize WS (Dock)</t>
  </si>
  <si>
    <t>UIS (Dock)</t>
  </si>
  <si>
    <t>Tote Palletize (Dock)</t>
  </si>
  <si>
    <t>Tote Palletize WS (Dock)</t>
  </si>
  <si>
    <t>Directed Counts (PIT)</t>
  </si>
  <si>
    <t>Pallet Racking Audits (PIT)</t>
  </si>
  <si>
    <t>Simple Bin Counts (PIT)</t>
  </si>
  <si>
    <t>Andons (PIT)</t>
  </si>
  <si>
    <t>ICQA</t>
  </si>
  <si>
    <t xml:space="preserve">Problem Solve </t>
  </si>
  <si>
    <t>Inbound</t>
  </si>
  <si>
    <t>IB Jackpot (Dock)</t>
  </si>
  <si>
    <t>Stow Kiosk (Dock)</t>
  </si>
  <si>
    <t>Damage (Dock)</t>
  </si>
  <si>
    <t>IOL (Dock)</t>
  </si>
  <si>
    <t>Pallet PS (Dock)</t>
  </si>
  <si>
    <t>Outbpund</t>
  </si>
  <si>
    <t>OB Jackpot (Dock)</t>
  </si>
  <si>
    <t>OB Runner (Dock)</t>
  </si>
  <si>
    <t>UIS PS (Dock)</t>
  </si>
  <si>
    <t>CPT Chasing (Dock)</t>
  </si>
  <si>
    <t>Pick Skips (PIT)</t>
  </si>
  <si>
    <t>Learning</t>
  </si>
  <si>
    <t>Your Assigned Task (Assigned Stand-Up)</t>
  </si>
  <si>
    <t>lelindse</t>
  </si>
  <si>
    <t>iovannan</t>
  </si>
  <si>
    <t>shollk</t>
  </si>
  <si>
    <t>aviedith</t>
  </si>
  <si>
    <t>phasiss</t>
  </si>
  <si>
    <t>brammak</t>
  </si>
  <si>
    <t>matolaur</t>
  </si>
  <si>
    <t>smollie</t>
  </si>
  <si>
    <t>amypaden</t>
  </si>
  <si>
    <t>tkkania</t>
  </si>
  <si>
    <t>jjromo</t>
  </si>
  <si>
    <t>motiwala</t>
  </si>
  <si>
    <t>onealamo</t>
  </si>
  <si>
    <t>mjwade</t>
  </si>
  <si>
    <t>agriswol</t>
  </si>
  <si>
    <t>agurmeet</t>
  </si>
  <si>
    <t>wgordon</t>
  </si>
  <si>
    <t>bwinchri</t>
  </si>
  <si>
    <t>tararara</t>
  </si>
  <si>
    <t>tulloslt</t>
  </si>
  <si>
    <t>marsldru</t>
  </si>
  <si>
    <t>zellep</t>
  </si>
  <si>
    <t>tobylong</t>
  </si>
  <si>
    <t>urosaric</t>
  </si>
  <si>
    <t>abigafel</t>
  </si>
  <si>
    <t>jbburdie</t>
  </si>
  <si>
    <t>delghjav</t>
  </si>
  <si>
    <t>ariawgeo</t>
  </si>
  <si>
    <t>ripabreu</t>
  </si>
  <si>
    <t>shaleyma</t>
  </si>
  <si>
    <t>tsaulico</t>
  </si>
  <si>
    <t>desicolo</t>
  </si>
  <si>
    <t>karpleit</t>
  </si>
  <si>
    <t>rodrdiab</t>
  </si>
  <si>
    <t>ashanmir</t>
  </si>
  <si>
    <t>anniecru</t>
  </si>
  <si>
    <t>coredema</t>
  </si>
  <si>
    <t>rkarelyu</t>
  </si>
  <si>
    <t>nayeldia</t>
  </si>
  <si>
    <t>leisobae</t>
  </si>
  <si>
    <t>polaevei</t>
  </si>
  <si>
    <t>jadesosa</t>
  </si>
  <si>
    <t>lizandrz</t>
  </si>
  <si>
    <t>heamoyec</t>
  </si>
  <si>
    <t>strtonix</t>
  </si>
  <si>
    <t>osvaldgg</t>
  </si>
  <si>
    <t>zkirkdav</t>
  </si>
  <si>
    <t>chbalzer</t>
  </si>
  <si>
    <t>filppamf</t>
  </si>
  <si>
    <t>vasqueie</t>
  </si>
  <si>
    <t>ckdomini</t>
  </si>
  <si>
    <t>gegrego</t>
  </si>
  <si>
    <t>lesbvazq</t>
  </si>
  <si>
    <t>michcolz</t>
  </si>
  <si>
    <t>shellkus</t>
  </si>
  <si>
    <t>tiberrix</t>
  </si>
  <si>
    <t>gffairch</t>
  </si>
  <si>
    <t>fsgechte</t>
  </si>
  <si>
    <t>jazshook</t>
  </si>
  <si>
    <t>crualonb</t>
  </si>
  <si>
    <t>yarigonz</t>
  </si>
  <si>
    <t>xochimej</t>
  </si>
  <si>
    <t>Paste employeeList-HDC3 data in columns (HI) of “Roster” tab before copying and pasting Badge Barcode ID data in Column A and User ID data in Column B to transpose order of column data.</t>
  </si>
  <si>
    <t>Pick WS</t>
  </si>
  <si>
    <t>Stow WS</t>
  </si>
  <si>
    <t>Flow PG</t>
  </si>
  <si>
    <t>Stow PG (Dock)</t>
  </si>
  <si>
    <t>Dock PG (Dock)</t>
  </si>
  <si>
    <t xml:space="preserve">Pick PG </t>
  </si>
  <si>
    <t>FLOW PG</t>
  </si>
  <si>
    <t>Palletize PG</t>
  </si>
  <si>
    <t>Dock Auditor</t>
  </si>
  <si>
    <t>PICK WS</t>
  </si>
  <si>
    <t>jomoraf</t>
  </si>
  <si>
    <t>gonzmeln</t>
  </si>
  <si>
    <t>brzmoral</t>
  </si>
  <si>
    <t>heofeliq</t>
  </si>
  <si>
    <t>zmitcheo</t>
  </si>
  <si>
    <t>johanxga</t>
  </si>
  <si>
    <t>udylgonz</t>
  </si>
  <si>
    <t>escolam</t>
  </si>
  <si>
    <t>xbamanue</t>
  </si>
  <si>
    <t>khaleibl</t>
  </si>
  <si>
    <t>daskylex</t>
  </si>
  <si>
    <t>evelyrga</t>
  </si>
  <si>
    <t>fanasdem</t>
  </si>
  <si>
    <t>nilsfell</t>
  </si>
  <si>
    <t>jennyfav</t>
  </si>
  <si>
    <t>wilbinvx</t>
  </si>
  <si>
    <t>scedecar</t>
  </si>
  <si>
    <t>soraidaw</t>
  </si>
  <si>
    <t>henricri</t>
  </si>
  <si>
    <t>natalguj</t>
  </si>
  <si>
    <t>jjermele</t>
  </si>
  <si>
    <t>tvegaazt</t>
  </si>
  <si>
    <t>rivdaisa</t>
  </si>
  <si>
    <t>josmelej</t>
  </si>
  <si>
    <t>sotoeval</t>
  </si>
  <si>
    <t>oryansan</t>
  </si>
  <si>
    <t>buenodes</t>
  </si>
  <si>
    <t>cvilomar</t>
  </si>
  <si>
    <t>rusbelgr</t>
  </si>
  <si>
    <t>shalstsh</t>
  </si>
  <si>
    <t>cjjacobu</t>
  </si>
  <si>
    <t>chrimou</t>
  </si>
  <si>
    <t>dshampar</t>
  </si>
  <si>
    <t>kkeeneyb</t>
  </si>
  <si>
    <t>pbonejos</t>
  </si>
  <si>
    <t>mdarlet</t>
  </si>
  <si>
    <t>legilleq</t>
  </si>
  <si>
    <t>fvaleric</t>
  </si>
  <si>
    <t>kquidavi</t>
  </si>
  <si>
    <t>emarerik</t>
  </si>
  <si>
    <t>juadomio</t>
  </si>
  <si>
    <t>zayjoneo</t>
  </si>
  <si>
    <t>pijohann</t>
  </si>
  <si>
    <t>rakensie</t>
  </si>
  <si>
    <t>josxwood</t>
  </si>
  <si>
    <t>wimenjiv</t>
  </si>
  <si>
    <t>crezrono</t>
  </si>
  <si>
    <t>umasteve</t>
  </si>
  <si>
    <t>sramicar</t>
  </si>
  <si>
    <t>eugrodol</t>
  </si>
  <si>
    <t>jazrosad</t>
  </si>
  <si>
    <t>urichana</t>
  </si>
  <si>
    <t>cruzckev</t>
  </si>
  <si>
    <t>humvicto</t>
  </si>
  <si>
    <t>byirandi</t>
  </si>
  <si>
    <t>anyelmon</t>
  </si>
  <si>
    <t>lisandow</t>
  </si>
  <si>
    <t>judicast</t>
  </si>
  <si>
    <t>yvachris</t>
  </si>
  <si>
    <t>arjeanel</t>
  </si>
  <si>
    <t>asabreuy</t>
  </si>
  <si>
    <t>pollijean</t>
  </si>
  <si>
    <t>hereyira</t>
  </si>
  <si>
    <t>aneaquin</t>
  </si>
  <si>
    <t>ashgermu</t>
  </si>
  <si>
    <t>momrica</t>
  </si>
  <si>
    <t>frcolonx</t>
  </si>
  <si>
    <t>gcrusama</t>
  </si>
  <si>
    <t>prezzar</t>
  </si>
  <si>
    <t>dielinab</t>
  </si>
  <si>
    <t>briaxdia</t>
  </si>
  <si>
    <t>albdhern</t>
  </si>
  <si>
    <t>hiciaalb</t>
  </si>
  <si>
    <t>dlemilio</t>
  </si>
  <si>
    <t>anangome</t>
  </si>
  <si>
    <t>wcrubren</t>
  </si>
  <si>
    <t>iclamich</t>
  </si>
  <si>
    <t>aneudsan</t>
  </si>
  <si>
    <t>ashbracu</t>
  </si>
  <si>
    <t>padriaro</t>
  </si>
  <si>
    <t>tyanwolf</t>
  </si>
  <si>
    <t>cespedri</t>
  </si>
  <si>
    <t>hjeremyz</t>
  </si>
  <si>
    <t>adritord</t>
  </si>
  <si>
    <t>mealexxa</t>
  </si>
  <si>
    <t>glyjenki</t>
  </si>
  <si>
    <t>famoslop</t>
  </si>
  <si>
    <t>gebhamiy</t>
  </si>
  <si>
    <t>tnoribet</t>
  </si>
  <si>
    <t>bnichodi</t>
  </si>
  <si>
    <t>ilozadak</t>
  </si>
  <si>
    <t>hlicmane</t>
  </si>
  <si>
    <t>cmorasco</t>
  </si>
  <si>
    <t>kiyanmea</t>
  </si>
  <si>
    <t>camadel</t>
  </si>
  <si>
    <t>deyshane</t>
  </si>
  <si>
    <t>qoskardo</t>
  </si>
  <si>
    <t>aulbenja</t>
  </si>
  <si>
    <t>helmateo</t>
  </si>
  <si>
    <t>roderril</t>
  </si>
  <si>
    <t>ojoesilf</t>
  </si>
  <si>
    <t>hgenpere</t>
  </si>
  <si>
    <t>didjerel</t>
  </si>
  <si>
    <t>rmenfeli</t>
  </si>
  <si>
    <t>lantrosa</t>
  </si>
  <si>
    <t>santalep</t>
  </si>
  <si>
    <t>kceranko</t>
  </si>
  <si>
    <t>stgerpat</t>
  </si>
  <si>
    <t>rosakenz</t>
  </si>
  <si>
    <t>pamicheg</t>
  </si>
  <si>
    <t>fsaalex</t>
  </si>
  <si>
    <t>mitalipt</t>
  </si>
  <si>
    <t>juanraml</t>
  </si>
  <si>
    <t>crojsa</t>
  </si>
  <si>
    <t>qjavierg</t>
  </si>
  <si>
    <t>wasmarqf</t>
  </si>
  <si>
    <t>badge</t>
  </si>
  <si>
    <t>ecartagm</t>
  </si>
  <si>
    <t>sanchjuk</t>
  </si>
  <si>
    <t>elsantiy</t>
  </si>
  <si>
    <t>pizaqang</t>
  </si>
  <si>
    <t>antvgonz</t>
  </si>
  <si>
    <t>avilatba</t>
  </si>
  <si>
    <t>usichri</t>
  </si>
  <si>
    <t>nunezrzd</t>
  </si>
  <si>
    <t>wendqvil</t>
  </si>
  <si>
    <t>juradomv</t>
  </si>
  <si>
    <t>guzmanbw</t>
  </si>
  <si>
    <t>duranuo</t>
  </si>
  <si>
    <t>sterojaz</t>
  </si>
  <si>
    <t>wmaurich</t>
  </si>
  <si>
    <t>fluid loader BWI2</t>
  </si>
  <si>
    <t>Rainbow Project(see alvin)</t>
  </si>
  <si>
    <t>holfkyle</t>
  </si>
  <si>
    <t>dansgome</t>
  </si>
  <si>
    <t>goodbcha</t>
  </si>
  <si>
    <t>xbrailyn</t>
  </si>
  <si>
    <t>delficed</t>
  </si>
  <si>
    <t>dveloalv</t>
  </si>
  <si>
    <t>amaujeay</t>
  </si>
  <si>
    <t>astaalys</t>
  </si>
  <si>
    <t>reshagar</t>
  </si>
  <si>
    <t>solersam</t>
  </si>
  <si>
    <t>jiovalle</t>
  </si>
  <si>
    <t>syloquen</t>
  </si>
  <si>
    <t>nhitzant</t>
  </si>
  <si>
    <t>hmansant</t>
  </si>
  <si>
    <t>trdarwin</t>
  </si>
  <si>
    <t>miguepso</t>
  </si>
  <si>
    <t>rivejusb</t>
  </si>
  <si>
    <t>benitjah</t>
  </si>
  <si>
    <t>toralexj</t>
  </si>
  <si>
    <t>marcugw</t>
  </si>
  <si>
    <t>PIT</t>
  </si>
  <si>
    <t>Turret Remove Empty</t>
  </si>
  <si>
    <t>Cage Clean (Dock)</t>
  </si>
  <si>
    <t>Skips Delete</t>
  </si>
  <si>
    <t>Case Racking Audits (PIT)</t>
  </si>
  <si>
    <t>Code 5</t>
  </si>
  <si>
    <t>on</t>
  </si>
  <si>
    <t>Labor Track Per Scan</t>
  </si>
  <si>
    <t>Badge ID</t>
  </si>
  <si>
    <t>AA Login</t>
  </si>
  <si>
    <t>Process</t>
  </si>
  <si>
    <t>#AAs Planned</t>
  </si>
  <si>
    <t>DOCK</t>
  </si>
  <si>
    <t>Actual #AAs</t>
  </si>
  <si>
    <t>PS_ICQA_Learning</t>
  </si>
  <si>
    <t>Total Planned Headcount</t>
  </si>
  <si>
    <t>Total Actual Headcount</t>
  </si>
  <si>
    <t>Non-Assigned</t>
  </si>
  <si>
    <t>TOTE WRANGLER</t>
  </si>
  <si>
    <t>TOTAL</t>
  </si>
  <si>
    <t>Ambassador</t>
  </si>
  <si>
    <t>Ambassador PIT</t>
  </si>
  <si>
    <t>Total Non-Assigned</t>
  </si>
  <si>
    <t>-</t>
  </si>
  <si>
    <t>Not on Roster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</si>
</sst>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sz val="10"/>
      <color theme="1"/>
      <name val="Arial Unicode MS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color rgb="FF1D1C1D"/>
      <name val="Arial"/>
      <family val="2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 tint="0.249977111117893"/>
      <name val="Calibri"/>
      <family val="2"/>
      <scheme val="minor"/>
    </font>
    <font>
      <b/>
      <sz val="11"/>
      <color theme="8" tint="-0.499984740745262"/>
      <name val="Gadugi"/>
      <family val="2"/>
    </font>
    <font>
      <b/>
      <sz val="11"/>
      <color theme="8" tint="-0.499984740745262"/>
      <name val="Calibri"/>
      <family val="2"/>
      <scheme val="minor"/>
    </font>
    <font>
      <sz val="11"/>
      <color rgb="FF000000"/>
      <name val="Calibri"/>
      <family val="2"/>
    </font>
  </fonts>
  <fills count="1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6">
    <xf numFmtId="0" fontId="0" fillId="0" borderId="0" xfId="0"/>
    <xf numFmtId="0" fontId="2" fillId="0" borderId="0" xfId="0" applyFont="1" applyAlignment="1">
      <alignment horizontal="center"/>
    </xf>
    <xf numFmtId="0" fontId="6" fillId="0" borderId="0" xfId="0" applyFont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5" fillId="0" borderId="0" xfId="0" applyFont="1" applyProtection="1">
      <protection locked="0"/>
    </xf>
    <xf numFmtId="0" fontId="0" fillId="0" borderId="0" xfId="0" applyAlignment="1">
      <alignment horizontal="center"/>
    </xf>
    <xf numFmtId="0" fontId="6" fillId="0" borderId="6" xfId="0" applyFont="1" applyBorder="1" applyAlignment="1" applyProtection="1">
      <alignment horizontal="center"/>
      <protection locked="0"/>
    </xf>
    <xf numFmtId="0" fontId="6" fillId="0" borderId="7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8" xfId="0" applyBorder="1"/>
    <xf numFmtId="0" fontId="0" fillId="0" borderId="10" xfId="0" applyBorder="1"/>
    <xf numFmtId="0" fontId="0" fillId="0" borderId="4" xfId="0" applyBorder="1" applyAlignment="1" applyProtection="1">
      <alignment horizontal="center"/>
      <protection locked="0"/>
    </xf>
    <xf numFmtId="0" fontId="4" fillId="3" borderId="1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/>
    </xf>
    <xf numFmtId="0" fontId="6" fillId="0" borderId="14" xfId="0" applyFont="1" applyBorder="1" applyAlignment="1" applyProtection="1">
      <alignment horizontal="center"/>
      <protection locked="0"/>
    </xf>
    <xf numFmtId="0" fontId="6" fillId="0" borderId="15" xfId="0" applyFont="1" applyBorder="1" applyAlignment="1" applyProtection="1">
      <alignment horizontal="center"/>
      <protection locked="0"/>
    </xf>
    <xf numFmtId="0" fontId="6" fillId="0" borderId="16" xfId="0" applyFont="1" applyBorder="1" applyAlignment="1" applyProtection="1">
      <alignment horizontal="center"/>
      <protection locked="0"/>
    </xf>
    <xf numFmtId="0" fontId="6" fillId="0" borderId="1" xfId="0" applyFont="1" applyBorder="1" applyAlignment="1" applyProtection="1">
      <alignment horizontal="center"/>
      <protection locked="0"/>
    </xf>
    <xf numFmtId="0" fontId="6" fillId="0" borderId="17" xfId="0" applyFont="1" applyBorder="1" applyAlignment="1" applyProtection="1">
      <alignment horizontal="center"/>
      <protection locked="0"/>
    </xf>
    <xf numFmtId="0" fontId="0" fillId="0" borderId="5" xfId="0" applyBorder="1" applyAlignment="1" applyProtection="1">
      <alignment horizontal="center"/>
      <protection locked="0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0" fillId="0" borderId="18" xfId="0" applyBorder="1" applyAlignment="1" applyProtection="1">
      <alignment horizontal="center"/>
      <protection locked="0"/>
    </xf>
    <xf numFmtId="0" fontId="0" fillId="0" borderId="19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6" fillId="0" borderId="20" xfId="0" applyFont="1" applyBorder="1" applyAlignment="1" applyProtection="1">
      <alignment horizontal="center"/>
      <protection locked="0"/>
    </xf>
    <xf numFmtId="0" fontId="0" fillId="0" borderId="21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1" xfId="0" applyBorder="1" applyAlignment="1" applyProtection="1">
      <alignment horizontal="center"/>
      <protection locked="0"/>
    </xf>
    <xf numFmtId="0" fontId="2" fillId="0" borderId="5" xfId="0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4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6" fillId="0" borderId="22" xfId="0" applyFont="1" applyBorder="1" applyAlignment="1" applyProtection="1">
      <alignment horizontal="center"/>
      <protection locked="0"/>
    </xf>
    <xf numFmtId="0" fontId="2" fillId="0" borderId="23" xfId="0" applyFont="1" applyBorder="1" applyAlignment="1">
      <alignment horizontal="center"/>
    </xf>
    <xf numFmtId="0" fontId="2" fillId="0" borderId="24" xfId="0" applyFont="1" applyBorder="1" applyAlignment="1">
      <alignment horizontal="center"/>
    </xf>
    <xf numFmtId="0" fontId="2" fillId="0" borderId="25" xfId="0" applyFont="1" applyBorder="1" applyAlignment="1">
      <alignment horizontal="center"/>
    </xf>
    <xf numFmtId="0" fontId="2" fillId="0" borderId="22" xfId="0" applyFont="1" applyBorder="1" applyAlignment="1">
      <alignment horizontal="center"/>
    </xf>
    <xf numFmtId="0" fontId="6" fillId="0" borderId="2" xfId="0" applyFont="1" applyBorder="1" applyAlignment="1" applyProtection="1">
      <alignment horizontal="center"/>
      <protection locked="0"/>
    </xf>
    <xf numFmtId="0" fontId="2" fillId="0" borderId="21" xfId="0" applyFont="1" applyBorder="1" applyAlignment="1">
      <alignment horizontal="center"/>
    </xf>
    <xf numFmtId="0" fontId="0" fillId="0" borderId="21" xfId="0" applyBorder="1"/>
    <xf numFmtId="0" fontId="0" fillId="0" borderId="18" xfId="0" applyBorder="1"/>
    <xf numFmtId="0" fontId="0" fillId="0" borderId="19" xfId="0" applyBorder="1"/>
    <xf numFmtId="0" fontId="0" fillId="0" borderId="5" xfId="0" applyBorder="1"/>
    <xf numFmtId="0" fontId="0" fillId="0" borderId="22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5" xfId="0" applyBorder="1" applyAlignment="1" applyProtection="1">
      <alignment horizontal="center"/>
      <protection locked="0"/>
    </xf>
    <xf numFmtId="0" fontId="2" fillId="0" borderId="30" xfId="0" applyFont="1" applyBorder="1" applyAlignment="1">
      <alignment horizontal="center"/>
    </xf>
    <xf numFmtId="0" fontId="0" fillId="0" borderId="23" xfId="0" applyBorder="1" applyAlignment="1" applyProtection="1">
      <alignment horizontal="center"/>
      <protection locked="0"/>
    </xf>
    <xf numFmtId="0" fontId="8" fillId="0" borderId="0" xfId="0" applyFont="1"/>
    <xf numFmtId="0" fontId="0" fillId="0" borderId="3" xfId="0" applyBorder="1"/>
    <xf numFmtId="1" fontId="0" fillId="0" borderId="5" xfId="0" applyNumberFormat="1" applyBorder="1" applyAlignment="1" applyProtection="1">
      <alignment horizontal="center"/>
      <protection locked="0"/>
    </xf>
    <xf numFmtId="1" fontId="0" fillId="0" borderId="18" xfId="0" applyNumberFormat="1" applyBorder="1" applyAlignment="1" applyProtection="1">
      <alignment horizontal="center"/>
      <protection locked="0"/>
    </xf>
    <xf numFmtId="1" fontId="0" fillId="0" borderId="19" xfId="0" applyNumberFormat="1" applyBorder="1" applyAlignment="1" applyProtection="1">
      <alignment horizontal="center"/>
      <protection locked="0"/>
    </xf>
    <xf numFmtId="1" fontId="0" fillId="0" borderId="4" xfId="0" applyNumberFormat="1" applyBorder="1" applyAlignment="1" applyProtection="1">
      <alignment horizontal="center"/>
      <protection locked="0"/>
    </xf>
    <xf numFmtId="1" fontId="2" fillId="0" borderId="21" xfId="0" applyNumberFormat="1" applyFont="1" applyBorder="1" applyAlignment="1">
      <alignment horizontal="center"/>
    </xf>
    <xf numFmtId="0" fontId="9" fillId="0" borderId="24" xfId="0" applyFont="1" applyBorder="1" applyAlignment="1">
      <alignment horizontal="center"/>
    </xf>
    <xf numFmtId="0" fontId="11" fillId="0" borderId="0" xfId="0" applyFont="1" applyProtection="1">
      <protection locked="0"/>
    </xf>
    <xf numFmtId="0" fontId="1" fillId="6" borderId="32" xfId="0" applyFont="1" applyFill="1" applyBorder="1" applyAlignment="1">
      <alignment horizontal="center" vertical="center"/>
    </xf>
    <xf numFmtId="0" fontId="1" fillId="6" borderId="5" xfId="0" applyFont="1" applyFill="1" applyBorder="1" applyAlignment="1">
      <alignment horizontal="center" vertical="center"/>
    </xf>
    <xf numFmtId="0" fontId="1" fillId="8" borderId="27" xfId="0" applyFont="1" applyFill="1" applyBorder="1" applyAlignment="1">
      <alignment horizontal="center" vertical="center"/>
    </xf>
    <xf numFmtId="0" fontId="1" fillId="9" borderId="33" xfId="0" applyFont="1" applyFill="1" applyBorder="1" applyAlignment="1">
      <alignment horizontal="center" vertical="center"/>
    </xf>
    <xf numFmtId="0" fontId="1" fillId="9" borderId="18" xfId="0" applyFont="1" applyFill="1" applyBorder="1" applyAlignment="1">
      <alignment horizontal="center" vertical="center"/>
    </xf>
    <xf numFmtId="0" fontId="1" fillId="9" borderId="21" xfId="0" applyFont="1" applyFill="1" applyBorder="1" applyAlignment="1">
      <alignment horizontal="center" vertical="center"/>
    </xf>
    <xf numFmtId="0" fontId="1" fillId="10" borderId="21" xfId="0" applyFont="1" applyFill="1" applyBorder="1" applyAlignment="1">
      <alignment horizontal="center" vertical="center"/>
    </xf>
    <xf numFmtId="0" fontId="1" fillId="10" borderId="23" xfId="0" applyFont="1" applyFill="1" applyBorder="1" applyAlignment="1">
      <alignment horizontal="center" vertical="center"/>
    </xf>
    <xf numFmtId="0" fontId="1" fillId="10" borderId="18" xfId="0" applyFont="1" applyFill="1" applyBorder="1" applyAlignment="1">
      <alignment horizontal="center" vertical="center"/>
    </xf>
    <xf numFmtId="0" fontId="1" fillId="10" borderId="24" xfId="0" applyFont="1" applyFill="1" applyBorder="1" applyAlignment="1">
      <alignment horizontal="center" vertical="center"/>
    </xf>
    <xf numFmtId="0" fontId="1" fillId="9" borderId="19" xfId="0" applyFont="1" applyFill="1" applyBorder="1" applyAlignment="1">
      <alignment horizontal="center" vertical="center"/>
    </xf>
    <xf numFmtId="0" fontId="1" fillId="10" borderId="19" xfId="0" applyFont="1" applyFill="1" applyBorder="1" applyAlignment="1">
      <alignment horizontal="center" vertical="center"/>
    </xf>
    <xf numFmtId="0" fontId="1" fillId="9" borderId="34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2" fillId="13" borderId="0" xfId="0" applyFont="1" applyFill="1" applyAlignment="1" applyProtection="1">
      <alignment horizontal="center"/>
      <protection locked="0"/>
    </xf>
    <xf numFmtId="0" fontId="14" fillId="12" borderId="27" xfId="0" applyFont="1" applyFill="1" applyBorder="1" applyAlignment="1">
      <alignment horizontal="center" vertical="center"/>
    </xf>
    <xf numFmtId="0" fontId="14" fillId="12" borderId="20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5" borderId="4" xfId="0" applyFont="1" applyFill="1" applyBorder="1" applyAlignment="1">
      <alignment horizontal="center" vertical="center"/>
    </xf>
    <xf numFmtId="0" fontId="13" fillId="11" borderId="27" xfId="0" applyFont="1" applyFill="1" applyBorder="1" applyAlignment="1">
      <alignment horizontal="center" vertical="center"/>
    </xf>
    <xf numFmtId="0" fontId="13" fillId="11" borderId="20" xfId="0" applyFont="1" applyFill="1" applyBorder="1" applyAlignment="1">
      <alignment horizontal="center" vertical="center"/>
    </xf>
    <xf numFmtId="0" fontId="1" fillId="0" borderId="29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6" fillId="0" borderId="31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0" fillId="7" borderId="31" xfId="0" applyFill="1" applyBorder="1" applyAlignment="1">
      <alignment horizontal="center" wrapText="1"/>
    </xf>
    <xf numFmtId="0" fontId="0" fillId="7" borderId="15" xfId="0" applyFill="1" applyBorder="1" applyAlignment="1">
      <alignment horizontal="center" wrapText="1"/>
    </xf>
    <xf numFmtId="0" fontId="0" fillId="7" borderId="17" xfId="0" applyFill="1" applyBorder="1" applyAlignment="1">
      <alignment horizontal="center" wrapText="1"/>
    </xf>
    <xf numFmtId="0" fontId="0" fillId="7" borderId="28" xfId="0" applyFill="1" applyBorder="1" applyAlignment="1">
      <alignment horizontal="center" wrapText="1"/>
    </xf>
    <xf numFmtId="0" fontId="0" fillId="7" borderId="0" xfId="0" applyFill="1" applyAlignment="1">
      <alignment horizontal="center" wrapText="1"/>
    </xf>
    <xf numFmtId="0" fontId="0" fillId="7" borderId="13" xfId="0" applyFill="1" applyBorder="1" applyAlignment="1">
      <alignment horizontal="center" wrapText="1"/>
    </xf>
    <xf numFmtId="0" fontId="0" fillId="7" borderId="29" xfId="0" applyFill="1" applyBorder="1" applyAlignment="1">
      <alignment horizontal="center" wrapText="1"/>
    </xf>
    <xf numFmtId="0" fontId="0" fillId="7" borderId="26" xfId="0" applyFill="1" applyBorder="1" applyAlignment="1">
      <alignment horizontal="center" wrapText="1"/>
    </xf>
    <xf numFmtId="0" fontId="0" fillId="7" borderId="30" xfId="0" applyFill="1" applyBorder="1" applyAlignment="1">
      <alignment horizontal="center" wrapText="1"/>
    </xf>
    <xf numFmtId="0" fontId="1" fillId="8" borderId="27" xfId="0" applyFont="1" applyFill="1" applyBorder="1" applyAlignment="1">
      <alignment horizontal="center" vertical="center"/>
    </xf>
    <xf numFmtId="0" fontId="1" fillId="8" borderId="20" xfId="0" applyFont="1" applyFill="1" applyBorder="1" applyAlignment="1">
      <alignment horizontal="center" vertical="center"/>
    </xf>
    <xf numFmtId="0" fontId="1" fillId="10" borderId="27" xfId="0" applyFont="1" applyFill="1" applyBorder="1" applyAlignment="1">
      <alignment horizontal="center" vertical="center"/>
    </xf>
    <xf numFmtId="0" fontId="1" fillId="10" borderId="20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ont>
        <color theme="0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6.emf"/><Relationship Id="rId13" Type="http://schemas.openxmlformats.org/officeDocument/2006/relationships/image" Target="../media/image12.emf"/><Relationship Id="rId3" Type="http://schemas.openxmlformats.org/officeDocument/2006/relationships/image" Target="../media/image13.emf"/><Relationship Id="rId7" Type="http://schemas.openxmlformats.org/officeDocument/2006/relationships/image" Target="../media/image8.emf"/><Relationship Id="rId12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14.emf"/><Relationship Id="rId1" Type="http://schemas.openxmlformats.org/officeDocument/2006/relationships/image" Target="../media/image16.emf"/><Relationship Id="rId6" Type="http://schemas.openxmlformats.org/officeDocument/2006/relationships/image" Target="../media/image9.emf"/><Relationship Id="rId11" Type="http://schemas.openxmlformats.org/officeDocument/2006/relationships/image" Target="../media/image2.emf"/><Relationship Id="rId5" Type="http://schemas.openxmlformats.org/officeDocument/2006/relationships/image" Target="../media/image10.emf"/><Relationship Id="rId15" Type="http://schemas.openxmlformats.org/officeDocument/2006/relationships/image" Target="../media/image7.emf"/><Relationship Id="rId10" Type="http://schemas.openxmlformats.org/officeDocument/2006/relationships/image" Target="../media/image4.emf"/><Relationship Id="rId4" Type="http://schemas.openxmlformats.org/officeDocument/2006/relationships/image" Target="../media/image11.emf"/><Relationship Id="rId9" Type="http://schemas.openxmlformats.org/officeDocument/2006/relationships/image" Target="../media/image5.emf"/><Relationship Id="rId1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5806469</xdr:colOff>
      <xdr:row>20</xdr:row>
      <xdr:rowOff>17110</xdr:rowOff>
    </xdr:from>
    <xdr:to>
      <xdr:col>1</xdr:col>
      <xdr:colOff>6170069</xdr:colOff>
      <xdr:row>20</xdr:row>
      <xdr:rowOff>194839</xdr:rowOff>
    </xdr:to>
    <xdr:sp macro="[0]!toggleButton" textlink="">
      <xdr:nvSpPr>
        <xdr:cNvPr id="11" name="frame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>
          <a:spLocks/>
        </xdr:cNvSpPr>
      </xdr:nvSpPr>
      <xdr:spPr>
        <a:xfrm>
          <a:off x="7854344" y="5274910"/>
          <a:ext cx="363600" cy="177729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5996969</xdr:colOff>
      <xdr:row>20</xdr:row>
      <xdr:rowOff>18910</xdr:rowOff>
    </xdr:from>
    <xdr:to>
      <xdr:col>1</xdr:col>
      <xdr:colOff>6162569</xdr:colOff>
      <xdr:row>20</xdr:row>
      <xdr:rowOff>193039</xdr:rowOff>
    </xdr:to>
    <xdr:sp macro="[0]!toggleButton" textlink="">
      <xdr:nvSpPr>
        <xdr:cNvPr id="12" name="circl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044844" y="5276710"/>
          <a:ext cx="165600" cy="174129"/>
        </a:xfrm>
        <a:prstGeom prst="ellipse">
          <a:avLst/>
        </a:prstGeom>
        <a:solidFill>
          <a:srgbClr val="00CC66"/>
        </a:solidFill>
        <a:effectLst>
          <a:glow>
            <a:schemeClr val="accent1">
              <a:alpha val="40000"/>
            </a:schemeClr>
          </a:glo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4324350</xdr:colOff>
          <xdr:row>21</xdr:row>
          <xdr:rowOff>85725</xdr:rowOff>
        </xdr:from>
        <xdr:to>
          <xdr:col>1</xdr:col>
          <xdr:colOff>6191250</xdr:colOff>
          <xdr:row>22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Scanned Headcount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172812</xdr:colOff>
          <xdr:row>46</xdr:row>
          <xdr:rowOff>91164</xdr:rowOff>
        </xdr:from>
        <xdr:to>
          <xdr:col>9</xdr:col>
          <xdr:colOff>1288597</xdr:colOff>
          <xdr:row>56</xdr:row>
          <xdr:rowOff>122464</xdr:rowOff>
        </xdr:to>
        <xdr:grpSp>
          <xdr:nvGrpSpPr>
            <xdr:cNvPr id="2" name="Group 1">
              <a:extLst>
                <a:ext uri="{FF2B5EF4-FFF2-40B4-BE49-F238E27FC236}">
                  <a16:creationId xmlns:a16="http://schemas.microsoft.com/office/drawing/2014/main" id="{00000000-0008-0000-0400-000002000000}"/>
                </a:ext>
              </a:extLst>
            </xdr:cNvPr>
            <xdr:cNvGrpSpPr/>
          </xdr:nvGrpSpPr>
          <xdr:grpSpPr>
            <a:xfrm>
              <a:off x="6684448" y="9616164"/>
              <a:ext cx="5826331" cy="1936300"/>
              <a:chOff x="6568167" y="9330417"/>
              <a:chExt cx="5864677" cy="2072370"/>
            </a:xfrm>
          </xdr:grpSpPr>
          <xdr:sp macro="" textlink="">
            <xdr:nvSpPr>
              <xdr:cNvPr id="5121" name="Counts" hidden="1">
                <a:extLst>
                  <a:ext uri="{63B3BB69-23CF-44E3-9099-C40C66FF867C}">
                    <a14:compatExt spid="_x0000_s5121"/>
                  </a:ext>
                  <a:ext uri="{FF2B5EF4-FFF2-40B4-BE49-F238E27FC236}">
                    <a16:creationId xmlns:a16="http://schemas.microsoft.com/office/drawing/2014/main" id="{00000000-0008-0000-0400-000001140000}"/>
                  </a:ext>
                </a:extLst>
              </xdr:cNvPr>
              <xdr:cNvSpPr/>
            </xdr:nvSpPr>
            <xdr:spPr bwMode="auto">
              <a:xfrm>
                <a:off x="6568167" y="10395859"/>
                <a:ext cx="2911923" cy="10069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2" name="palletRacking" hidden="1">
                <a:extLst>
                  <a:ext uri="{63B3BB69-23CF-44E3-9099-C40C66FF867C}">
                    <a14:compatExt spid="_x0000_s5122"/>
                  </a:ext>
                  <a:ext uri="{FF2B5EF4-FFF2-40B4-BE49-F238E27FC236}">
                    <a16:creationId xmlns:a16="http://schemas.microsoft.com/office/drawing/2014/main" id="{00000000-0008-0000-0400-000002140000}"/>
                  </a:ext>
                </a:extLst>
              </xdr:cNvPr>
              <xdr:cNvSpPr/>
            </xdr:nvSpPr>
            <xdr:spPr bwMode="auto">
              <a:xfrm>
                <a:off x="6570890" y="9330418"/>
                <a:ext cx="2909207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5" name="andons" hidden="1">
                <a:extLst>
                  <a:ext uri="{63B3BB69-23CF-44E3-9099-C40C66FF867C}">
                    <a14:compatExt spid="_x0000_s5125"/>
                  </a:ext>
                  <a:ext uri="{FF2B5EF4-FFF2-40B4-BE49-F238E27FC236}">
                    <a16:creationId xmlns:a16="http://schemas.microsoft.com/office/drawing/2014/main" id="{00000000-0008-0000-0400-000005140000}"/>
                  </a:ext>
                </a:extLst>
              </xdr:cNvPr>
              <xdr:cNvSpPr/>
            </xdr:nvSpPr>
            <xdr:spPr bwMode="auto">
              <a:xfrm>
                <a:off x="9523638" y="10364561"/>
                <a:ext cx="2905125" cy="101101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5124" name="SimpleBinCount" hidden="1">
                <a:extLst>
                  <a:ext uri="{63B3BB69-23CF-44E3-9099-C40C66FF867C}">
                    <a14:compatExt spid="_x0000_s5124"/>
                  </a:ext>
                  <a:ext uri="{FF2B5EF4-FFF2-40B4-BE49-F238E27FC236}">
                    <a16:creationId xmlns:a16="http://schemas.microsoft.com/office/drawing/2014/main" id="{00000000-0008-0000-0400-000004140000}"/>
                  </a:ext>
                </a:extLst>
              </xdr:cNvPr>
              <xdr:cNvSpPr/>
            </xdr:nvSpPr>
            <xdr:spPr bwMode="auto">
              <a:xfrm>
                <a:off x="9523638" y="9330417"/>
                <a:ext cx="2909206" cy="1011011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46</xdr:row>
          <xdr:rowOff>57150</xdr:rowOff>
        </xdr:from>
        <xdr:to>
          <xdr:col>13</xdr:col>
          <xdr:colOff>142875</xdr:colOff>
          <xdr:row>49</xdr:row>
          <xdr:rowOff>47625</xdr:rowOff>
        </xdr:to>
        <xdr:sp macro="" textlink="">
          <xdr:nvSpPr>
            <xdr:cNvPr id="5127" name="IBJP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46</xdr:row>
          <xdr:rowOff>57150</xdr:rowOff>
        </xdr:from>
        <xdr:to>
          <xdr:col>13</xdr:col>
          <xdr:colOff>1714500</xdr:colOff>
          <xdr:row>49</xdr:row>
          <xdr:rowOff>38100</xdr:rowOff>
        </xdr:to>
        <xdr:sp macro="" textlink="">
          <xdr:nvSpPr>
            <xdr:cNvPr id="5128" name="OBJP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49</xdr:row>
          <xdr:rowOff>47625</xdr:rowOff>
        </xdr:from>
        <xdr:to>
          <xdr:col>13</xdr:col>
          <xdr:colOff>133350</xdr:colOff>
          <xdr:row>52</xdr:row>
          <xdr:rowOff>28575</xdr:rowOff>
        </xdr:to>
        <xdr:sp macro="" textlink="">
          <xdr:nvSpPr>
            <xdr:cNvPr id="5129" name="StowKiosk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52</xdr:row>
          <xdr:rowOff>19050</xdr:rowOff>
        </xdr:from>
        <xdr:to>
          <xdr:col>13</xdr:col>
          <xdr:colOff>133350</xdr:colOff>
          <xdr:row>55</xdr:row>
          <xdr:rowOff>9525</xdr:rowOff>
        </xdr:to>
        <xdr:sp macro="" textlink="">
          <xdr:nvSpPr>
            <xdr:cNvPr id="5130" name="damag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55</xdr:row>
          <xdr:rowOff>9525</xdr:rowOff>
        </xdr:from>
        <xdr:to>
          <xdr:col>13</xdr:col>
          <xdr:colOff>133350</xdr:colOff>
          <xdr:row>57</xdr:row>
          <xdr:rowOff>180975</xdr:rowOff>
        </xdr:to>
        <xdr:sp macro="" textlink="">
          <xdr:nvSpPr>
            <xdr:cNvPr id="5131" name="IOL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</xdr:colOff>
          <xdr:row>57</xdr:row>
          <xdr:rowOff>171450</xdr:rowOff>
        </xdr:from>
        <xdr:to>
          <xdr:col>13</xdr:col>
          <xdr:colOff>133350</xdr:colOff>
          <xdr:row>60</xdr:row>
          <xdr:rowOff>152400</xdr:rowOff>
        </xdr:to>
        <xdr:sp macro="" textlink="">
          <xdr:nvSpPr>
            <xdr:cNvPr id="5132" name="palletPS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49</xdr:row>
          <xdr:rowOff>47625</xdr:rowOff>
        </xdr:from>
        <xdr:to>
          <xdr:col>13</xdr:col>
          <xdr:colOff>1704975</xdr:colOff>
          <xdr:row>52</xdr:row>
          <xdr:rowOff>28575</xdr:rowOff>
        </xdr:to>
        <xdr:sp macro="" textlink="">
          <xdr:nvSpPr>
            <xdr:cNvPr id="5133" name="OBRunner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52</xdr:row>
          <xdr:rowOff>38100</xdr:rowOff>
        </xdr:from>
        <xdr:to>
          <xdr:col>13</xdr:col>
          <xdr:colOff>1704975</xdr:colOff>
          <xdr:row>55</xdr:row>
          <xdr:rowOff>19050</xdr:rowOff>
        </xdr:to>
        <xdr:sp macro="" textlink="">
          <xdr:nvSpPr>
            <xdr:cNvPr id="5134" name="UISPS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55</xdr:row>
          <xdr:rowOff>0</xdr:rowOff>
        </xdr:from>
        <xdr:to>
          <xdr:col>13</xdr:col>
          <xdr:colOff>1704975</xdr:colOff>
          <xdr:row>57</xdr:row>
          <xdr:rowOff>171450</xdr:rowOff>
        </xdr:to>
        <xdr:sp macro="" textlink="">
          <xdr:nvSpPr>
            <xdr:cNvPr id="5135" name="CPTChase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152400</xdr:colOff>
          <xdr:row>57</xdr:row>
          <xdr:rowOff>180975</xdr:rowOff>
        </xdr:from>
        <xdr:to>
          <xdr:col>13</xdr:col>
          <xdr:colOff>1704975</xdr:colOff>
          <xdr:row>60</xdr:row>
          <xdr:rowOff>152400</xdr:rowOff>
        </xdr:to>
        <xdr:sp macro="" textlink="">
          <xdr:nvSpPr>
            <xdr:cNvPr id="5136" name="pickSkips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46</xdr:row>
          <xdr:rowOff>47625</xdr:rowOff>
        </xdr:from>
        <xdr:to>
          <xdr:col>18</xdr:col>
          <xdr:colOff>428625</xdr:colOff>
          <xdr:row>49</xdr:row>
          <xdr:rowOff>19050</xdr:rowOff>
        </xdr:to>
        <xdr:sp macro="" textlink="">
          <xdr:nvSpPr>
            <xdr:cNvPr id="5137" name="learningGeneral" hidden="1">
              <a:extLst>
                <a:ext uri="{63B3BB69-23CF-44E3-9099-C40C66FF867C}">
                  <a14:compatExt spid="_x0000_s5137"/>
                </a:ext>
                <a:ext uri="{FF2B5EF4-FFF2-40B4-BE49-F238E27FC236}">
                  <a16:creationId xmlns:a16="http://schemas.microsoft.com/office/drawing/2014/main" id="{00000000-0008-0000-0400-00001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49</xdr:row>
          <xdr:rowOff>19050</xdr:rowOff>
        </xdr:from>
        <xdr:to>
          <xdr:col>18</xdr:col>
          <xdr:colOff>428625</xdr:colOff>
          <xdr:row>51</xdr:row>
          <xdr:rowOff>180975</xdr:rowOff>
        </xdr:to>
        <xdr:sp macro="" textlink="">
          <xdr:nvSpPr>
            <xdr:cNvPr id="5138" name="learningPIT" hidden="1">
              <a:extLst>
                <a:ext uri="{63B3BB69-23CF-44E3-9099-C40C66FF867C}">
                  <a14:compatExt spid="_x0000_s5138"/>
                </a:ext>
                <a:ext uri="{FF2B5EF4-FFF2-40B4-BE49-F238E27FC236}">
                  <a16:creationId xmlns:a16="http://schemas.microsoft.com/office/drawing/2014/main" id="{00000000-0008-0000-0400-00001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bg1">
            <a:lumMod val="95000"/>
          </a:schemeClr>
        </a:solidFill>
        <a:ln>
          <a:solidFill>
            <a:schemeClr val="bg1">
              <a:lumMod val="85000"/>
            </a:schemeClr>
          </a:solidFill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22"/>
  <sheetViews>
    <sheetView showGridLines="0" tabSelected="1" zoomScaleNormal="100" workbookViewId="0">
      <selection activeCell="B10" sqref="B10"/>
    </sheetView>
  </sheetViews>
  <sheetFormatPr defaultColWidth="8.7109375" defaultRowHeight="15"/>
  <cols>
    <col min="1" max="1" width="30.7109375" style="3" customWidth="1"/>
    <col min="2" max="2" width="153.28515625" style="3" bestFit="1" customWidth="1"/>
    <col min="3" max="3" width="30.7109375" style="3" customWidth="1"/>
    <col min="4" max="4" width="17" style="3" customWidth="1"/>
    <col min="5" max="5" width="10.140625" style="3" customWidth="1"/>
    <col min="6" max="16384" width="8.7109375" style="3"/>
  </cols>
  <sheetData>
    <row r="1" spans="1:26" ht="15.75" thickBot="1">
      <c r="Z1" s="3" t="s">
        <v>1320</v>
      </c>
    </row>
    <row r="2" spans="1:26" ht="19.5" thickBot="1">
      <c r="B2" s="34" t="s">
        <v>12</v>
      </c>
      <c r="D2" s="82" t="s">
        <v>1329</v>
      </c>
      <c r="E2" s="83"/>
      <c r="G2" s="61" t="s">
        <v>1320</v>
      </c>
    </row>
    <row r="3" spans="1:26" ht="14.45" customHeight="1" thickBot="1">
      <c r="B3" s="79" t="s">
        <v>1338</v>
      </c>
      <c r="D3" s="77">
        <f>Headcount!R3</f>
        <v>0</v>
      </c>
      <c r="E3" s="78"/>
    </row>
    <row r="4" spans="1:26" ht="14.45" customHeight="1" thickBot="1">
      <c r="B4" s="80"/>
      <c r="D4" s="82" t="s">
        <v>1330</v>
      </c>
      <c r="E4" s="83"/>
    </row>
    <row r="5" spans="1:26" ht="15" customHeight="1" thickBot="1">
      <c r="B5" s="80"/>
      <c r="D5" s="77">
        <f>Headcount!R5</f>
        <v>1</v>
      </c>
      <c r="E5" s="78"/>
    </row>
    <row r="6" spans="1:26" ht="15.75" thickBot="1">
      <c r="A6" s="4"/>
      <c r="B6" s="81"/>
      <c r="D6" s="82" t="s">
        <v>1336</v>
      </c>
      <c r="E6" s="83"/>
    </row>
    <row r="7" spans="1:26" ht="15.75" thickBot="1">
      <c r="B7"/>
      <c r="D7" s="77">
        <f>Headcount!P20</f>
        <v>0</v>
      </c>
      <c r="E7" s="78"/>
    </row>
    <row r="8" spans="1:26" ht="15.75" thickBot="1">
      <c r="B8"/>
    </row>
    <row r="9" spans="1:26" ht="19.5" thickBot="1">
      <c r="B9" s="35" t="s">
        <v>1087</v>
      </c>
    </row>
    <row r="10" spans="1:26" ht="117" customHeight="1" thickBot="1">
      <c r="B10" s="15" t="s">
        <v>1068</v>
      </c>
    </row>
    <row r="11" spans="1:26">
      <c r="B11"/>
    </row>
    <row r="12" spans="1:26" ht="15.75" thickBot="1">
      <c r="B12"/>
    </row>
    <row r="13" spans="1:26">
      <c r="B13" s="16" t="s">
        <v>19</v>
      </c>
    </row>
    <row r="14" spans="1:26" ht="15.75" thickBot="1">
      <c r="B14" s="14" t="s">
        <v>1337</v>
      </c>
    </row>
    <row r="21" spans="2:2" ht="15.75">
      <c r="B21" s="76" t="s">
        <v>1321</v>
      </c>
    </row>
    <row r="22" spans="2:2">
      <c r="B22" s="27"/>
    </row>
  </sheetData>
  <sheetProtection selectLockedCells="1"/>
  <mergeCells count="7">
    <mergeCell ref="D7:E7"/>
    <mergeCell ref="B3:B6"/>
    <mergeCell ref="D2:E2"/>
    <mergeCell ref="D3:E3"/>
    <mergeCell ref="D4:E4"/>
    <mergeCell ref="D5:E5"/>
    <mergeCell ref="D6:E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lear_Logsheet">
                <anchor moveWithCells="1" sizeWithCells="1">
                  <from>
                    <xdr:col>1</xdr:col>
                    <xdr:colOff>4324350</xdr:colOff>
                    <xdr:row>21</xdr:row>
                    <xdr:rowOff>85725</xdr:rowOff>
                  </from>
                  <to>
                    <xdr:col>1</xdr:col>
                    <xdr:colOff>6191250</xdr:colOff>
                    <xdr:row>22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W36"/>
  <sheetViews>
    <sheetView zoomScale="70" zoomScaleNormal="70" workbookViewId="0">
      <selection activeCell="A2" sqref="A2:A17"/>
    </sheetView>
  </sheetViews>
  <sheetFormatPr defaultRowHeight="15.75"/>
  <cols>
    <col min="1" max="3" width="22.140625" style="1" customWidth="1"/>
    <col min="4" max="4" width="4.42578125" customWidth="1"/>
    <col min="5" max="7" width="22.140625" customWidth="1"/>
    <col min="8" max="8" width="4.85546875" customWidth="1"/>
    <col min="9" max="11" width="22.140625" customWidth="1"/>
    <col min="12" max="12" width="4.85546875" customWidth="1"/>
    <col min="13" max="14" width="22.140625" customWidth="1"/>
    <col min="15" max="15" width="23.85546875" bestFit="1" customWidth="1"/>
    <col min="16" max="16" width="4.42578125" customWidth="1"/>
    <col min="17" max="19" width="22.140625" customWidth="1"/>
    <col min="20" max="20" width="4.42578125" customWidth="1"/>
    <col min="21" max="22" width="22.140625" customWidth="1"/>
    <col min="23" max="23" width="24.140625" bestFit="1" customWidth="1"/>
  </cols>
  <sheetData>
    <row r="1" spans="1:23" ht="16.5" thickBot="1">
      <c r="A1" s="20" t="s">
        <v>23</v>
      </c>
      <c r="B1" s="20" t="s">
        <v>0</v>
      </c>
      <c r="C1" s="21" t="s">
        <v>1</v>
      </c>
      <c r="E1" s="20" t="s">
        <v>23</v>
      </c>
      <c r="F1" s="20" t="s">
        <v>0</v>
      </c>
      <c r="G1" s="28" t="s">
        <v>1</v>
      </c>
      <c r="I1" s="20" t="s">
        <v>23</v>
      </c>
      <c r="J1" s="20" t="s">
        <v>0</v>
      </c>
      <c r="K1" s="20" t="s">
        <v>1</v>
      </c>
      <c r="M1" s="20" t="s">
        <v>23</v>
      </c>
      <c r="N1" s="20" t="s">
        <v>0</v>
      </c>
      <c r="O1" s="20" t="s">
        <v>1</v>
      </c>
      <c r="Q1" s="20" t="s">
        <v>23</v>
      </c>
      <c r="R1" s="20" t="s">
        <v>0</v>
      </c>
      <c r="S1" s="20" t="s">
        <v>1</v>
      </c>
      <c r="U1" s="20" t="s">
        <v>23</v>
      </c>
      <c r="V1" s="20" t="s">
        <v>0</v>
      </c>
      <c r="W1" s="20" t="s">
        <v>1</v>
      </c>
    </row>
    <row r="2" spans="1:23">
      <c r="A2" s="43"/>
      <c r="B2" s="22" t="e">
        <f>VLOOKUP(A2,Roster!$A$2:$B$5000,2,FALSE)</f>
        <v>#N/A</v>
      </c>
      <c r="C2" s="33" t="s">
        <v>1050</v>
      </c>
      <c r="E2" s="47">
        <v>13522333</v>
      </c>
      <c r="F2" s="22" t="str">
        <f>VLOOKUP(E2,Roster!$A$2:$B$5000,2,FALSE)</f>
        <v>delficed</v>
      </c>
      <c r="G2" s="33" t="s">
        <v>1054</v>
      </c>
      <c r="I2" s="47" t="s">
        <v>17</v>
      </c>
      <c r="J2" s="22" t="e">
        <f>VLOOKUP(I2,Roster!$A$2:$B$5000,2,FALSE)</f>
        <v>#N/A</v>
      </c>
      <c r="K2" s="41" t="s">
        <v>1056</v>
      </c>
      <c r="M2" s="55"/>
      <c r="N2" s="22" t="e">
        <f>VLOOKUP(M2,Roster!$A$2:$B$5000,2,FALSE)</f>
        <v>#N/A</v>
      </c>
      <c r="O2" s="41" t="s">
        <v>1059</v>
      </c>
      <c r="Q2" s="47"/>
      <c r="R2" s="48" t="e">
        <f>VLOOKUP(Q2,Roster!$A$2:$B$5000,2,FALSE)</f>
        <v>#N/A</v>
      </c>
      <c r="S2" s="41" t="s">
        <v>1063</v>
      </c>
      <c r="U2" s="45"/>
      <c r="V2" s="22" t="e">
        <f>VLOOKUP(U2,Roster!$A$2:$B$5000,2,FALSE)</f>
        <v>#N/A</v>
      </c>
      <c r="W2" s="41" t="s">
        <v>1065</v>
      </c>
    </row>
    <row r="3" spans="1:23">
      <c r="A3" s="23"/>
      <c r="B3" s="25" t="e">
        <f>VLOOKUP(A3,Roster!$A$2:$B$5000,2,FALSE)</f>
        <v>#N/A</v>
      </c>
      <c r="C3" s="23" t="s">
        <v>1153</v>
      </c>
      <c r="E3" s="45">
        <v>15207832</v>
      </c>
      <c r="F3" s="25" t="str">
        <f>VLOOKUP(E3,Roster!$A$2:$B$5000,2,FALSE)</f>
        <v>pgeronis</v>
      </c>
      <c r="G3" s="23" t="s">
        <v>1054</v>
      </c>
      <c r="I3" s="45"/>
      <c r="J3" s="25" t="e">
        <f>VLOOKUP(I3,Roster!$A$2:$B$5000,2,FALSE)</f>
        <v>#N/A</v>
      </c>
      <c r="K3" s="39" t="s">
        <v>1056</v>
      </c>
      <c r="M3" s="56"/>
      <c r="N3" s="25" t="e">
        <f>VLOOKUP(M3,Roster!$A$2:$B$5000,2,FALSE)</f>
        <v>#N/A</v>
      </c>
      <c r="O3" s="39" t="s">
        <v>1059</v>
      </c>
      <c r="Q3" s="45"/>
      <c r="R3" s="49" t="e">
        <f>VLOOKUP(Q3,Roster!$A$2:$B$5000,2,FALSE)</f>
        <v>#N/A</v>
      </c>
      <c r="S3" s="39" t="s">
        <v>1063</v>
      </c>
      <c r="U3" s="45"/>
      <c r="V3" s="25" t="e">
        <f>VLOOKUP(U3,Roster!$A$2:$B$5000,2,FALSE)</f>
        <v>#N/A</v>
      </c>
      <c r="W3" s="39" t="s">
        <v>1065</v>
      </c>
    </row>
    <row r="4" spans="1:23">
      <c r="A4" s="23"/>
      <c r="B4" s="25" t="e">
        <f>VLOOKUP(A4,Roster!$A$2:$B$5000,2,FALSE)</f>
        <v>#N/A</v>
      </c>
      <c r="C4" s="23" t="s">
        <v>1157</v>
      </c>
      <c r="E4" s="45">
        <v>11308551</v>
      </c>
      <c r="F4" s="25" t="str">
        <f>VLOOKUP(E4,Roster!$A$2:$B$5000,2,FALSE)</f>
        <v>mbeltrag</v>
      </c>
      <c r="G4" s="23" t="s">
        <v>1054</v>
      </c>
      <c r="I4" s="45"/>
      <c r="J4" s="25" t="e">
        <f>VLOOKUP(I4,Roster!$A$2:$B$5000,2,FALSE)</f>
        <v>#N/A</v>
      </c>
      <c r="K4" s="39" t="s">
        <v>1056</v>
      </c>
      <c r="M4" s="56"/>
      <c r="N4" s="25" t="e">
        <f>VLOOKUP(M4,Roster!$A$2:$B$5000,2,FALSE)</f>
        <v>#N/A</v>
      </c>
      <c r="O4" s="39" t="s">
        <v>1059</v>
      </c>
      <c r="Q4" s="45"/>
      <c r="R4" s="49" t="e">
        <f>VLOOKUP(Q4,Roster!$A$2:$B$5000,2,FALSE)</f>
        <v>#N/A</v>
      </c>
      <c r="S4" s="39" t="s">
        <v>1063</v>
      </c>
      <c r="U4" s="45"/>
      <c r="V4" s="25" t="e">
        <f>VLOOKUP(U4,Roster!$A$2:$B$5000,2,FALSE)</f>
        <v>#N/A</v>
      </c>
      <c r="W4" s="39" t="s">
        <v>1065</v>
      </c>
    </row>
    <row r="5" spans="1:23">
      <c r="A5" s="23"/>
      <c r="B5" s="25" t="e">
        <f>VLOOKUP(A5,Roster!$A$2:$B$5000,2,FALSE)</f>
        <v>#N/A</v>
      </c>
      <c r="C5" s="23" t="s">
        <v>1051</v>
      </c>
      <c r="E5" s="45">
        <v>11580699</v>
      </c>
      <c r="F5" s="25" t="str">
        <f>VLOOKUP(E5,Roster!$A$2:$B$5000,2,FALSE)</f>
        <v>kilviogu</v>
      </c>
      <c r="G5" s="23" t="s">
        <v>1054</v>
      </c>
      <c r="I5" s="45"/>
      <c r="J5" s="25" t="e">
        <f>VLOOKUP(I5,Roster!$A$2:$B$5000,2,FALSE)</f>
        <v>#N/A</v>
      </c>
      <c r="K5" s="39" t="s">
        <v>1056</v>
      </c>
      <c r="M5" s="56"/>
      <c r="N5" s="25" t="e">
        <f>VLOOKUP(M5,Roster!$A$2:$B$5000,2,FALSE)</f>
        <v>#N/A</v>
      </c>
      <c r="O5" s="39" t="s">
        <v>1059</v>
      </c>
      <c r="Q5" s="45"/>
      <c r="R5" s="49" t="e">
        <f>VLOOKUP(Q5,Roster!$A$2:$B$5000,2,FALSE)</f>
        <v>#N/A</v>
      </c>
      <c r="S5" s="39" t="s">
        <v>1063</v>
      </c>
      <c r="U5" s="45"/>
      <c r="V5" s="25" t="e">
        <f>VLOOKUP(U5,Roster!$A$2:$B$5000,2,FALSE)</f>
        <v>#N/A</v>
      </c>
      <c r="W5" s="39" t="s">
        <v>1065</v>
      </c>
    </row>
    <row r="6" spans="1:23">
      <c r="A6" s="23"/>
      <c r="B6" s="25" t="e">
        <f>VLOOKUP(A6,Roster!$A$2:$B$5000,2,FALSE)</f>
        <v>#N/A</v>
      </c>
      <c r="C6" s="23" t="s">
        <v>1154</v>
      </c>
      <c r="E6" s="45"/>
      <c r="F6" s="25" t="e">
        <f>VLOOKUP(E6,Roster!$A$2:$B$5000,2,FALSE)</f>
        <v>#N/A</v>
      </c>
      <c r="G6" s="23" t="s">
        <v>1054</v>
      </c>
      <c r="I6" s="45"/>
      <c r="J6" s="25" t="e">
        <f>VLOOKUP(I6,Roster!$A$2:$B$5000,2,FALSE)</f>
        <v>#N/A</v>
      </c>
      <c r="K6" s="39" t="s">
        <v>1056</v>
      </c>
      <c r="M6" s="56"/>
      <c r="N6" s="25" t="e">
        <f>VLOOKUP(M6,Roster!$A$2:$B$5000,2,FALSE)</f>
        <v>#N/A</v>
      </c>
      <c r="O6" s="39" t="s">
        <v>1059</v>
      </c>
      <c r="Q6" s="45"/>
      <c r="R6" s="49" t="e">
        <f>VLOOKUP(Q6,Roster!$A$2:$B$5000,2,FALSE)</f>
        <v>#N/A</v>
      </c>
      <c r="S6" s="39" t="s">
        <v>1063</v>
      </c>
      <c r="U6" s="45"/>
      <c r="V6" s="25" t="e">
        <f>VLOOKUP(U6,Roster!$A$2:$B$5000,2,FALSE)</f>
        <v>#N/A</v>
      </c>
      <c r="W6" s="39" t="s">
        <v>1065</v>
      </c>
    </row>
    <row r="7" spans="1:23" ht="16.5" thickBot="1">
      <c r="A7" s="23"/>
      <c r="B7" s="25" t="e">
        <f>VLOOKUP(A7,Roster!$A$2:$B$5000,2,FALSE)</f>
        <v>#N/A</v>
      </c>
      <c r="C7" s="23" t="s">
        <v>1155</v>
      </c>
      <c r="E7" s="46"/>
      <c r="F7" s="26" t="e">
        <f>VLOOKUP(E7,Roster!$A$2:$B$5000,2,FALSE)</f>
        <v>#N/A</v>
      </c>
      <c r="G7" s="24" t="s">
        <v>1054</v>
      </c>
      <c r="I7" s="54"/>
      <c r="J7" s="25" t="e">
        <f>VLOOKUP(I7,Roster!$A$2:$B$5000,2,FALSE)</f>
        <v>#N/A</v>
      </c>
      <c r="K7" s="39" t="s">
        <v>1056</v>
      </c>
      <c r="M7" s="56"/>
      <c r="N7" s="25" t="e">
        <f>VLOOKUP(M7,Roster!$A$2:$B$5000,2,FALSE)</f>
        <v>#N/A</v>
      </c>
      <c r="O7" s="39" t="s">
        <v>1059</v>
      </c>
      <c r="Q7" s="45"/>
      <c r="R7" s="49" t="e">
        <f>VLOOKUP(Q7,Roster!$A$2:$B$5000,2,FALSE)</f>
        <v>#N/A</v>
      </c>
      <c r="S7" s="39" t="s">
        <v>1063</v>
      </c>
      <c r="U7" s="45"/>
      <c r="V7" s="25" t="e">
        <f>VLOOKUP(U7,Roster!$A$2:$B$5000,2,FALSE)</f>
        <v>#N/A</v>
      </c>
      <c r="W7" s="39" t="s">
        <v>1065</v>
      </c>
    </row>
    <row r="8" spans="1:23" ht="16.5" thickBot="1">
      <c r="A8" s="23"/>
      <c r="B8" s="25" t="e">
        <f>VLOOKUP(A8,Roster!$A$2:$B$5000,2,FALSE)</f>
        <v>#N/A</v>
      </c>
      <c r="C8" s="23" t="s">
        <v>1156</v>
      </c>
      <c r="E8" s="53"/>
      <c r="F8" s="22"/>
      <c r="G8" s="33" t="s">
        <v>1055</v>
      </c>
      <c r="I8" s="45"/>
      <c r="J8" s="25" t="e">
        <f>VLOOKUP(I8,Roster!$A$2:$B$5000,2,FALSE)</f>
        <v>#N/A</v>
      </c>
      <c r="K8" s="39" t="s">
        <v>1056</v>
      </c>
      <c r="M8" s="56"/>
      <c r="N8" s="25" t="e">
        <f>VLOOKUP(M8,Roster!$A$2:$B$5000,2,FALSE)</f>
        <v>#N/A</v>
      </c>
      <c r="O8" s="39" t="s">
        <v>1059</v>
      </c>
      <c r="Q8" s="45"/>
      <c r="R8" s="49" t="e">
        <f>VLOOKUP(Q8,Roster!$A$2:$B$5000,2,FALSE)</f>
        <v>#N/A</v>
      </c>
      <c r="S8" s="39" t="s">
        <v>1063</v>
      </c>
      <c r="U8" s="46"/>
      <c r="V8" s="40" t="e">
        <f>VLOOKUP(U8,Roster!$A$2:$B$5000,2,FALSE)</f>
        <v>#N/A</v>
      </c>
      <c r="W8" s="40" t="s">
        <v>1065</v>
      </c>
    </row>
    <row r="9" spans="1:23">
      <c r="A9" s="23"/>
      <c r="B9" s="25" t="e">
        <f>VLOOKUP(A9,Roster!$A$2:$B$5000,2,FALSE)</f>
        <v>#N/A</v>
      </c>
      <c r="C9" s="23" t="s">
        <v>1052</v>
      </c>
      <c r="E9" s="45">
        <v>13591386</v>
      </c>
      <c r="F9" s="25" t="str">
        <f>VLOOKUP(E9,Roster!$A$2:$B$5000,2,FALSE)</f>
        <v>hiciaalb</v>
      </c>
      <c r="G9" s="23" t="s">
        <v>1055</v>
      </c>
      <c r="I9" s="45"/>
      <c r="J9" s="25" t="e">
        <f>VLOOKUP(I9,Roster!$A$2:$B$5000,2,FALSE)</f>
        <v>#N/A</v>
      </c>
      <c r="K9" s="39" t="s">
        <v>1056</v>
      </c>
      <c r="M9" s="56"/>
      <c r="N9" s="25" t="e">
        <f>VLOOKUP(M9,Roster!$A$2:$B$5000,2,FALSE)</f>
        <v>#N/A</v>
      </c>
      <c r="O9" s="39" t="s">
        <v>1059</v>
      </c>
      <c r="Q9" s="45"/>
      <c r="R9" s="49" t="e">
        <f>VLOOKUP(Q9,Roster!$A$2:$B$5000,2,FALSE)</f>
        <v>#N/A</v>
      </c>
      <c r="S9" s="39" t="s">
        <v>1063</v>
      </c>
      <c r="U9" s="45"/>
      <c r="V9" s="25" t="e">
        <f>VLOOKUP(U9,Roster!$A$2:$B$5000,2,FALSE)</f>
        <v>#N/A</v>
      </c>
      <c r="W9" s="39" t="s">
        <v>1066</v>
      </c>
    </row>
    <row r="10" spans="1:23">
      <c r="A10" s="23"/>
      <c r="B10" s="25" t="e">
        <f>VLOOKUP(A10,Roster!$A$2:$B$5000,2,FALSE)</f>
        <v>#N/A</v>
      </c>
      <c r="C10" s="23" t="s">
        <v>1053</v>
      </c>
      <c r="E10" s="45">
        <v>14119261</v>
      </c>
      <c r="F10" s="25" t="str">
        <f>VLOOKUP(E10,Roster!$A$2:$B$5000,2,FALSE)</f>
        <v>rherrami</v>
      </c>
      <c r="G10" s="23" t="s">
        <v>1055</v>
      </c>
      <c r="I10" s="53"/>
      <c r="J10" s="25" t="e">
        <f>VLOOKUP(I10,Roster!$A$2:$B$5000,2,FALSE)</f>
        <v>#N/A</v>
      </c>
      <c r="K10" s="39" t="s">
        <v>1056</v>
      </c>
      <c r="M10" s="56"/>
      <c r="N10" s="25" t="e">
        <f>VLOOKUP(M10,Roster!$A$2:$B$5000,2,FALSE)</f>
        <v>#N/A</v>
      </c>
      <c r="O10" s="39" t="s">
        <v>1059</v>
      </c>
      <c r="Q10" s="45"/>
      <c r="R10" s="49" t="e">
        <f>VLOOKUP(Q10,Roster!$A$2:$B$5000,2,FALSE)</f>
        <v>#N/A</v>
      </c>
      <c r="S10" s="39" t="s">
        <v>1063</v>
      </c>
      <c r="U10" s="45"/>
      <c r="V10" s="25" t="e">
        <f>VLOOKUP(U10,Roster!$A$2:$B$5000,2,FALSE)</f>
        <v>#N/A</v>
      </c>
      <c r="W10" s="39" t="s">
        <v>1066</v>
      </c>
    </row>
    <row r="11" spans="1:23" ht="16.5" thickBot="1">
      <c r="A11" s="23"/>
      <c r="B11" s="25" t="e">
        <f>VLOOKUP(A11,Roster!$A$2:$B$5000,2,FALSE)</f>
        <v>#N/A</v>
      </c>
      <c r="C11" s="23" t="s">
        <v>1151</v>
      </c>
      <c r="E11" s="45"/>
      <c r="F11" s="25" t="e">
        <f>VLOOKUP(E11,Roster!$A$2:$B$5000,2,FALSE)</f>
        <v>#N/A</v>
      </c>
      <c r="G11" s="23" t="s">
        <v>1055</v>
      </c>
      <c r="I11" s="45"/>
      <c r="J11" s="25" t="e">
        <f>VLOOKUP(I11,Roster!$A$2:$B$5000,2,FALSE)</f>
        <v>#N/A</v>
      </c>
      <c r="K11" s="39" t="s">
        <v>1056</v>
      </c>
      <c r="M11" s="56"/>
      <c r="N11" s="25" t="e">
        <f>VLOOKUP(M11,Roster!$A$2:$B$5000,2,FALSE)</f>
        <v>#N/A</v>
      </c>
      <c r="O11" s="39" t="s">
        <v>1059</v>
      </c>
      <c r="Q11" s="45"/>
      <c r="R11" s="49" t="e">
        <f>VLOOKUP(Q11,Roster!$A$2:$B$5000,2,FALSE)</f>
        <v>#N/A</v>
      </c>
      <c r="S11" s="39" t="s">
        <v>1063</v>
      </c>
      <c r="U11" s="26"/>
      <c r="V11" s="26" t="e">
        <f>VLOOKUP(U11,Roster!$A$2:$B$5000,2,FALSE)</f>
        <v>#N/A</v>
      </c>
      <c r="W11" s="40" t="s">
        <v>1066</v>
      </c>
    </row>
    <row r="12" spans="1:23">
      <c r="A12" s="23"/>
      <c r="B12" s="25" t="e">
        <f>VLOOKUP(A12,Roster!$A$2:$B$5000,2,FALSE)</f>
        <v>#N/A</v>
      </c>
      <c r="C12" s="23" t="s">
        <v>1160</v>
      </c>
      <c r="E12" s="45"/>
      <c r="F12" s="25" t="e">
        <f>VLOOKUP(E12,Roster!$A$2:$B$5000,2,FALSE)</f>
        <v>#N/A</v>
      </c>
      <c r="G12" s="23" t="s">
        <v>1055</v>
      </c>
      <c r="I12" s="45"/>
      <c r="J12" s="25" t="e">
        <f>VLOOKUP(I12,Roster!$A$2:$B$5000,2,FALSE)</f>
        <v>#N/A</v>
      </c>
      <c r="K12" s="39" t="s">
        <v>1056</v>
      </c>
      <c r="M12" s="56"/>
      <c r="N12" s="25" t="e">
        <f>VLOOKUP(M12,Roster!$A$2:$B$5000,2,FALSE)</f>
        <v>#N/A</v>
      </c>
      <c r="O12" s="39" t="s">
        <v>1059</v>
      </c>
      <c r="Q12" s="45"/>
      <c r="R12" s="49" t="e">
        <f>VLOOKUP(Q12,Roster!$A$2:$B$5000,2,FALSE)</f>
        <v>#N/A</v>
      </c>
      <c r="S12" s="39" t="s">
        <v>1063</v>
      </c>
      <c r="U12" s="45"/>
      <c r="V12" s="32" t="e">
        <f>VLOOKUP(U12,Roster!$A$2:$B$5000,2,FALSE)</f>
        <v>#N/A</v>
      </c>
      <c r="W12" s="60" t="s">
        <v>1067</v>
      </c>
    </row>
    <row r="13" spans="1:23" ht="16.5" thickBot="1">
      <c r="A13" s="23"/>
      <c r="B13" s="25" t="e">
        <f>VLOOKUP(A13,Roster!$A$2:$B$5000,2,FALSE)</f>
        <v>#N/A</v>
      </c>
      <c r="C13" s="23" t="s">
        <v>1152</v>
      </c>
      <c r="E13" s="45"/>
      <c r="F13" s="25" t="e">
        <f>VLOOKUP(E13,Roster!$A$2:$B$5000,2,FALSE)</f>
        <v>#N/A</v>
      </c>
      <c r="G13" s="23" t="s">
        <v>1055</v>
      </c>
      <c r="I13" s="45"/>
      <c r="J13" s="25" t="e">
        <f>VLOOKUP(I13,Roster!$A$2:$B$5000,2,FALSE)</f>
        <v>#N/A</v>
      </c>
      <c r="K13" s="39" t="s">
        <v>1056</v>
      </c>
      <c r="M13" s="56"/>
      <c r="N13" s="25" t="e">
        <f>VLOOKUP(M13,Roster!$A$2:$B$5000,2,FALSE)</f>
        <v>#N/A</v>
      </c>
      <c r="O13" s="39" t="s">
        <v>1059</v>
      </c>
      <c r="Q13" s="45"/>
      <c r="R13" s="49" t="e">
        <f>VLOOKUP(Q13,Roster!$A$2:$B$5000,2,FALSE)</f>
        <v>#N/A</v>
      </c>
      <c r="S13" s="39" t="s">
        <v>1063</v>
      </c>
      <c r="U13" s="26"/>
      <c r="V13" s="40" t="e">
        <f>VLOOKUP(U13,Roster!$A$2:$B$5000,2,FALSE)</f>
        <v>#N/A</v>
      </c>
      <c r="W13" s="40" t="s">
        <v>1067</v>
      </c>
    </row>
    <row r="14" spans="1:23">
      <c r="A14" s="23"/>
      <c r="B14" s="25" t="e">
        <f>VLOOKUP(A14,Roster!$A$2:$B$5000,2,FALSE)</f>
        <v>#N/A</v>
      </c>
      <c r="C14" s="23" t="s">
        <v>1152</v>
      </c>
      <c r="E14" s="45"/>
      <c r="F14" s="25" t="e">
        <f>VLOOKUP(E14,Roster!$A$2:$B$5000,2,FALSE)</f>
        <v>#N/A</v>
      </c>
      <c r="G14" s="23" t="s">
        <v>1055</v>
      </c>
      <c r="I14" s="45"/>
      <c r="J14" s="25" t="e">
        <f>VLOOKUP(I14,Roster!$A$2:$B$5000,2,FALSE)</f>
        <v>#N/A</v>
      </c>
      <c r="K14" s="39" t="s">
        <v>1056</v>
      </c>
      <c r="M14" s="56"/>
      <c r="N14" s="25" t="e">
        <f>VLOOKUP(M14,Roster!$A$2:$B$5000,2,FALSE)</f>
        <v>#N/A</v>
      </c>
      <c r="O14" s="39" t="s">
        <v>1059</v>
      </c>
      <c r="Q14" s="45"/>
      <c r="R14" s="49" t="e">
        <f>VLOOKUP(Q14,Roster!$A$2:$B$5000,2,FALSE)</f>
        <v>#N/A</v>
      </c>
      <c r="S14" s="39" t="s">
        <v>1063</v>
      </c>
      <c r="U14" s="45"/>
      <c r="V14" s="25" t="e">
        <f>VLOOKUP(U14,Roster!$A$2:$B$5000,2,FALSE)</f>
        <v>#N/A</v>
      </c>
      <c r="W14" s="39" t="s">
        <v>1159</v>
      </c>
    </row>
    <row r="15" spans="1:23">
      <c r="A15" s="23"/>
      <c r="B15" s="25" t="e">
        <f>VLOOKUP(A15,Roster!$A$2:$B$5000,2,FALSE)</f>
        <v>#N/A</v>
      </c>
      <c r="C15" s="23" t="s">
        <v>1158</v>
      </c>
      <c r="E15" s="45"/>
      <c r="F15" s="25" t="e">
        <f>VLOOKUP(E15,Roster!$A$2:$B$5000,2,FALSE)</f>
        <v>#N/A</v>
      </c>
      <c r="G15" s="23" t="s">
        <v>1055</v>
      </c>
      <c r="I15" s="45"/>
      <c r="J15" s="25" t="e">
        <f>VLOOKUP(I15,Roster!$A$2:$B$5000,2,FALSE)</f>
        <v>#N/A</v>
      </c>
      <c r="K15" s="39" t="s">
        <v>1056</v>
      </c>
      <c r="M15" s="56"/>
      <c r="N15" s="25" t="e">
        <f>VLOOKUP(M15,Roster!$A$2:$B$5000,2,FALSE)</f>
        <v>#N/A</v>
      </c>
      <c r="O15" s="39" t="s">
        <v>1059</v>
      </c>
      <c r="Q15" s="45"/>
      <c r="R15" s="49" t="e">
        <f>VLOOKUP(Q15,Roster!$A$2:$B$5000,2,FALSE)</f>
        <v>#N/A</v>
      </c>
      <c r="S15" s="39" t="s">
        <v>1063</v>
      </c>
      <c r="U15" s="45"/>
      <c r="V15" s="25" t="e">
        <f>VLOOKUP(U15,Roster!$A$2:$B$5000,2,FALSE)</f>
        <v>#N/A</v>
      </c>
      <c r="W15" s="39" t="s">
        <v>1159</v>
      </c>
    </row>
    <row r="16" spans="1:23" ht="16.5" thickBot="1">
      <c r="A16" s="23"/>
      <c r="B16" s="25" t="e">
        <f>VLOOKUP(A16,Roster!$A$2:$B$5000,2,FALSE)</f>
        <v>#N/A</v>
      </c>
      <c r="C16" s="23" t="s">
        <v>1292</v>
      </c>
      <c r="E16" s="45"/>
      <c r="F16" s="25" t="e">
        <f>VLOOKUP(E16,Roster!$A$2:$B$5000,2,FALSE)</f>
        <v>#N/A</v>
      </c>
      <c r="G16" s="23" t="s">
        <v>1055</v>
      </c>
      <c r="I16" s="45"/>
      <c r="J16" s="25" t="e">
        <f>VLOOKUP(I16,Roster!$A$2:$B$5000,2,FALSE)</f>
        <v>#N/A</v>
      </c>
      <c r="K16" s="39" t="s">
        <v>1056</v>
      </c>
      <c r="M16" s="57"/>
      <c r="N16" s="26" t="e">
        <f>VLOOKUP(M16,Roster!$A$2:$B$5000,2,FALSE)</f>
        <v>#N/A</v>
      </c>
      <c r="O16" s="40" t="s">
        <v>1059</v>
      </c>
      <c r="Q16" s="45"/>
      <c r="R16" s="49" t="e">
        <f>VLOOKUP(Q16,Roster!$A$2:$B$5000,2,FALSE)</f>
        <v>#N/A</v>
      </c>
      <c r="S16" s="39" t="s">
        <v>1063</v>
      </c>
      <c r="U16" s="45"/>
      <c r="V16" s="25" t="e">
        <f>VLOOKUP(U16,Roster!$A$2:$B$5000,2,FALSE)</f>
        <v>#N/A</v>
      </c>
      <c r="W16" s="39" t="s">
        <v>1159</v>
      </c>
    </row>
    <row r="17" spans="1:19" ht="16.5" thickBot="1">
      <c r="A17" s="23"/>
      <c r="B17" s="25" t="e">
        <f>VLOOKUP(A17,Roster!$A$2:$B$5000,2,FALSE)</f>
        <v>#N/A</v>
      </c>
      <c r="C17" s="23" t="s">
        <v>1292</v>
      </c>
      <c r="E17" s="46"/>
      <c r="F17" s="26" t="e">
        <f>VLOOKUP(E17,Roster!$A$2:$B$5000,2,FALSE)</f>
        <v>#N/A</v>
      </c>
      <c r="G17" s="24" t="s">
        <v>1055</v>
      </c>
      <c r="I17" s="45"/>
      <c r="J17" s="25" t="e">
        <f>VLOOKUP(I17,Roster!$A$2:$B$5000,2,FALSE)</f>
        <v>#N/A</v>
      </c>
      <c r="K17" s="39" t="s">
        <v>1056</v>
      </c>
      <c r="M17" s="55"/>
      <c r="N17" s="22" t="e">
        <f>VLOOKUP(M17,Roster!$A$2:$B$5000,2,FALSE)</f>
        <v>#N/A</v>
      </c>
      <c r="O17" s="41" t="s">
        <v>1060</v>
      </c>
      <c r="Q17" s="45"/>
      <c r="R17" s="49" t="e">
        <f>VLOOKUP(Q17,Roster!$A$2:$B$5000,2,FALSE)</f>
        <v>#N/A</v>
      </c>
      <c r="S17" s="39" t="s">
        <v>1063</v>
      </c>
    </row>
    <row r="18" spans="1:19">
      <c r="A18" s="23"/>
      <c r="B18" s="25" t="e">
        <f>VLOOKUP(A18,Roster!$A$2:$B$5000,2,FALSE)</f>
        <v>#N/A</v>
      </c>
      <c r="C18" s="23" t="s">
        <v>1293</v>
      </c>
      <c r="E18" s="44"/>
      <c r="F18" s="32" t="e">
        <f>VLOOKUP(E18,Roster!$A$2:$B$5000,2,FALSE)</f>
        <v>#N/A</v>
      </c>
      <c r="G18" s="43" t="s">
        <v>1057</v>
      </c>
      <c r="I18" s="45"/>
      <c r="J18" s="25" t="e">
        <f>VLOOKUP(I18,Roster!$A$2:$B$5000,2,FALSE)</f>
        <v>#N/A</v>
      </c>
      <c r="K18" s="39" t="s">
        <v>1056</v>
      </c>
      <c r="M18" s="56"/>
      <c r="N18" s="25" t="e">
        <f>VLOOKUP(M18,Roster!$A$2:$B$5000,2,FALSE)</f>
        <v>#N/A</v>
      </c>
      <c r="O18" s="39" t="s">
        <v>1060</v>
      </c>
      <c r="Q18" s="45"/>
      <c r="R18" s="49" t="e">
        <f>VLOOKUP(Q18,Roster!$A$2:$B$5000,2,FALSE)</f>
        <v>#N/A</v>
      </c>
      <c r="S18" s="39" t="s">
        <v>1063</v>
      </c>
    </row>
    <row r="19" spans="1:19">
      <c r="A19" s="23"/>
      <c r="B19" s="25" t="e">
        <f>VLOOKUP(A19,Roster!$A$2:$B$5000,2,FALSE)</f>
        <v>#N/A</v>
      </c>
      <c r="C19" s="23" t="s">
        <v>1293</v>
      </c>
      <c r="E19" s="45"/>
      <c r="F19" s="25" t="e">
        <f>VLOOKUP(E19,Roster!$A$2:$B$5000,2,FALSE)</f>
        <v>#N/A</v>
      </c>
      <c r="G19" s="23" t="s">
        <v>1057</v>
      </c>
      <c r="I19" s="45"/>
      <c r="J19" s="25" t="e">
        <f>VLOOKUP(I19,Roster!$A$2:$B$5000,2,FALSE)</f>
        <v>#N/A</v>
      </c>
      <c r="K19" s="39" t="s">
        <v>1056</v>
      </c>
      <c r="M19" s="56"/>
      <c r="N19" s="25" t="e">
        <f>VLOOKUP(M19,Roster!$A$2:$B$5000,2,FALSE)</f>
        <v>#N/A</v>
      </c>
      <c r="O19" s="39" t="s">
        <v>1060</v>
      </c>
      <c r="Q19" s="45"/>
      <c r="R19" s="49" t="e">
        <f>VLOOKUP(Q19,Roster!$A$2:$B$5000,2,FALSE)</f>
        <v>#N/A</v>
      </c>
      <c r="S19" s="39" t="s">
        <v>1063</v>
      </c>
    </row>
    <row r="20" spans="1:19" ht="16.5" thickBot="1">
      <c r="A20"/>
      <c r="B20"/>
      <c r="E20" s="45"/>
      <c r="F20" s="25" t="e">
        <f>VLOOKUP(E20,Roster!$A$2:$B$5000,2,FALSE)</f>
        <v>#N/A</v>
      </c>
      <c r="G20" s="23" t="s">
        <v>1057</v>
      </c>
      <c r="I20" s="45"/>
      <c r="J20" s="25" t="e">
        <f>VLOOKUP(I20,Roster!$A$2:$B$5000,2,FALSE)</f>
        <v>#N/A</v>
      </c>
      <c r="K20" s="39" t="s">
        <v>1056</v>
      </c>
      <c r="M20" s="57"/>
      <c r="N20" s="26" t="e">
        <f>VLOOKUP(M20,Roster!$A$2:$B$5000,2,FALSE)</f>
        <v>#N/A</v>
      </c>
      <c r="O20" s="40" t="s">
        <v>1060</v>
      </c>
      <c r="Q20" s="45"/>
      <c r="R20" s="49" t="e">
        <f>VLOOKUP(Q20,Roster!$A$2:$B$5000,2,FALSE)</f>
        <v>#N/A</v>
      </c>
      <c r="S20" s="39" t="s">
        <v>1063</v>
      </c>
    </row>
    <row r="21" spans="1:19" ht="16.5" thickBot="1">
      <c r="A21"/>
      <c r="B21"/>
      <c r="E21" s="46"/>
      <c r="F21" s="26" t="e">
        <f>VLOOKUP(E21,Roster!$A$2:$B$5000,2,FALSE)</f>
        <v>#N/A</v>
      </c>
      <c r="G21" s="24" t="s">
        <v>1057</v>
      </c>
      <c r="I21" s="46"/>
      <c r="J21" s="26" t="e">
        <f>VLOOKUP(I21,Roster!$A$2:$B$5000,2,FALSE)</f>
        <v>#N/A</v>
      </c>
      <c r="K21" s="40" t="s">
        <v>1056</v>
      </c>
      <c r="M21" s="55"/>
      <c r="N21" s="22" t="e">
        <f>VLOOKUP(M21,Roster!$A$2:$B$5000,2,FALSE)</f>
        <v>#N/A</v>
      </c>
      <c r="O21" s="41" t="s">
        <v>1061</v>
      </c>
      <c r="Q21" s="45"/>
      <c r="R21" s="49" t="e">
        <f>VLOOKUP(Q21,Roster!$A$2:$B$5000,2,FALSE)</f>
        <v>#N/A</v>
      </c>
      <c r="S21" s="39" t="s">
        <v>1063</v>
      </c>
    </row>
    <row r="22" spans="1:19">
      <c r="A22"/>
      <c r="B22"/>
      <c r="I22" s="44"/>
      <c r="J22" s="32" t="e">
        <f>VLOOKUP(I22,Roster!$A$2:$B$5000,2,FALSE)</f>
        <v>#N/A</v>
      </c>
      <c r="K22" s="38" t="s">
        <v>1058</v>
      </c>
      <c r="M22" s="56"/>
      <c r="N22" s="25" t="e">
        <f>VLOOKUP(M22,Roster!$A$2:$B$5000,2,FALSE)</f>
        <v>#N/A</v>
      </c>
      <c r="O22" s="39" t="s">
        <v>1061</v>
      </c>
      <c r="Q22" s="45"/>
      <c r="R22" s="49" t="e">
        <f>VLOOKUP(Q22,Roster!$A$2:$B$5000,2,FALSE)</f>
        <v>#N/A</v>
      </c>
      <c r="S22" s="39" t="s">
        <v>1063</v>
      </c>
    </row>
    <row r="23" spans="1:19">
      <c r="A23"/>
      <c r="B23"/>
      <c r="G23" s="1"/>
      <c r="I23" s="53"/>
      <c r="J23" s="25" t="e">
        <f>VLOOKUP(I23,Roster!$A$2:$B$5000,2,FALSE)</f>
        <v>#N/A</v>
      </c>
      <c r="K23" s="39" t="s">
        <v>1058</v>
      </c>
      <c r="M23" s="56"/>
      <c r="N23" s="25" t="e">
        <f>VLOOKUP(M23,Roster!$A$2:$B$5000,2,FALSE)</f>
        <v>#N/A</v>
      </c>
      <c r="O23" s="39" t="s">
        <v>1061</v>
      </c>
      <c r="Q23" s="45"/>
      <c r="R23" s="49" t="e">
        <f>VLOOKUP(Q23,Roster!$A$2:$B$5000,2,FALSE)</f>
        <v>#N/A</v>
      </c>
      <c r="S23" s="39" t="s">
        <v>1063</v>
      </c>
    </row>
    <row r="24" spans="1:19">
      <c r="A24"/>
      <c r="B24"/>
      <c r="I24" s="45"/>
      <c r="J24" s="25" t="e">
        <f>VLOOKUP(I24,Roster!$A$2:$B$5000,2,FALSE)</f>
        <v>#N/A</v>
      </c>
      <c r="K24" s="39" t="s">
        <v>1058</v>
      </c>
      <c r="M24" s="56"/>
      <c r="N24" s="25" t="e">
        <f>VLOOKUP(M24,Roster!$A$2:$B$5000,2,FALSE)</f>
        <v>#N/A</v>
      </c>
      <c r="O24" s="39" t="s">
        <v>1061</v>
      </c>
      <c r="Q24" s="45"/>
      <c r="R24" s="49" t="e">
        <f>VLOOKUP(Q24,Roster!$A$2:$B$5000,2,FALSE)</f>
        <v>#N/A</v>
      </c>
      <c r="S24" s="39" t="s">
        <v>1063</v>
      </c>
    </row>
    <row r="25" spans="1:19" ht="16.5" thickBot="1">
      <c r="A25"/>
      <c r="B25"/>
      <c r="I25" s="46"/>
      <c r="J25" s="26" t="e">
        <f>VLOOKUP(I25,Roster!$A$2:$B$5000,2,FALSE)</f>
        <v>#N/A</v>
      </c>
      <c r="K25" s="40" t="s">
        <v>1058</v>
      </c>
      <c r="M25" s="56"/>
      <c r="N25" s="25" t="e">
        <f>VLOOKUP(M25,Roster!$A$2:$B$5000,2,FALSE)</f>
        <v>#N/A</v>
      </c>
      <c r="O25" s="39" t="s">
        <v>1061</v>
      </c>
      <c r="Q25" s="45"/>
      <c r="R25" s="49" t="e">
        <f>VLOOKUP(Q25,Roster!$A$2:$B$5000,2,FALSE)</f>
        <v>#N/A</v>
      </c>
      <c r="S25" s="39" t="s">
        <v>1063</v>
      </c>
    </row>
    <row r="26" spans="1:19">
      <c r="A26"/>
      <c r="B26"/>
      <c r="M26" s="56"/>
      <c r="N26" s="25" t="e">
        <f>VLOOKUP(M26,Roster!$A$2:$B$5000,2,FALSE)</f>
        <v>#N/A</v>
      </c>
      <c r="O26" s="39" t="s">
        <v>1061</v>
      </c>
      <c r="Q26" s="45"/>
      <c r="R26" s="49" t="e">
        <f>VLOOKUP(Q26,Roster!$A$2:$B$5000,2,FALSE)</f>
        <v>#N/A</v>
      </c>
      <c r="S26" s="39" t="s">
        <v>1063</v>
      </c>
    </row>
    <row r="27" spans="1:19">
      <c r="A27"/>
      <c r="B27"/>
      <c r="M27" s="56"/>
      <c r="N27" s="25" t="e">
        <f>VLOOKUP(M27,Roster!$A$2:$B$5000,2,FALSE)</f>
        <v>#N/A</v>
      </c>
      <c r="O27" s="39" t="s">
        <v>1061</v>
      </c>
      <c r="Q27" s="45"/>
      <c r="R27" s="49" t="e">
        <f>VLOOKUP(Q27,Roster!$A$2:$B$5000,2,FALSE)</f>
        <v>#N/A</v>
      </c>
      <c r="S27" s="39" t="s">
        <v>1063</v>
      </c>
    </row>
    <row r="28" spans="1:19" ht="16.5" thickBot="1">
      <c r="M28" s="57"/>
      <c r="N28" s="26" t="e">
        <f>VLOOKUP(M28,Roster!$A$2:$B$5000,2,FALSE)</f>
        <v>#N/A</v>
      </c>
      <c r="O28" s="40" t="s">
        <v>1061</v>
      </c>
      <c r="Q28" s="45"/>
      <c r="R28" s="49" t="e">
        <f>VLOOKUP(Q28,Roster!$A$2:$B$5000,2,FALSE)</f>
        <v>#N/A</v>
      </c>
      <c r="S28" s="39" t="s">
        <v>1063</v>
      </c>
    </row>
    <row r="29" spans="1:19" ht="16.5" thickBot="1">
      <c r="M29" s="58"/>
      <c r="N29" s="14" t="e">
        <f>VLOOKUP(M29,Roster!$A$2:$B$5000,2,FALSE)</f>
        <v>#N/A</v>
      </c>
      <c r="O29" s="51" t="s">
        <v>1062</v>
      </c>
      <c r="Q29" s="45"/>
      <c r="R29" s="49" t="e">
        <f>VLOOKUP(Q29,Roster!$A$2:$B$5000,2,FALSE)</f>
        <v>#N/A</v>
      </c>
      <c r="S29" s="39" t="s">
        <v>1063</v>
      </c>
    </row>
    <row r="30" spans="1:19">
      <c r="Q30" s="45"/>
      <c r="R30" s="49" t="e">
        <f>VLOOKUP(Q30,Roster!$A$2:$B$5000,2,FALSE)</f>
        <v>#N/A</v>
      </c>
      <c r="S30" s="39" t="s">
        <v>1063</v>
      </c>
    </row>
    <row r="31" spans="1:19" ht="16.5" thickBot="1">
      <c r="Q31" s="46"/>
      <c r="R31" s="50" t="e">
        <f>VLOOKUP(Q31,Roster!$A$2:$B$5000,2,FALSE)</f>
        <v>#N/A</v>
      </c>
      <c r="S31" s="40" t="s">
        <v>1063</v>
      </c>
    </row>
    <row r="32" spans="1:19">
      <c r="Q32" s="44"/>
      <c r="R32" s="52" t="e">
        <f>VLOOKUP(Q32,Roster!$A$2:$B$5000,2,FALSE)</f>
        <v>#N/A</v>
      </c>
      <c r="S32" s="38" t="s">
        <v>1064</v>
      </c>
    </row>
    <row r="33" spans="17:19">
      <c r="Q33" s="45"/>
      <c r="R33" s="49" t="e">
        <f>VLOOKUP(Q33,Roster!$A$2:$B$5000,2,FALSE)</f>
        <v>#N/A</v>
      </c>
      <c r="S33" s="39" t="s">
        <v>1064</v>
      </c>
    </row>
    <row r="34" spans="17:19">
      <c r="Q34" s="45"/>
      <c r="R34" s="49" t="e">
        <f>VLOOKUP(Q34,Roster!$A$2:$B$5000,2,FALSE)</f>
        <v>#N/A</v>
      </c>
      <c r="S34" s="39" t="s">
        <v>1064</v>
      </c>
    </row>
    <row r="35" spans="17:19">
      <c r="Q35" s="45"/>
      <c r="R35" s="49" t="e">
        <f>VLOOKUP(Q35,Roster!$A$2:$B$5000,2,FALSE)</f>
        <v>#N/A</v>
      </c>
      <c r="S35" s="39" t="s">
        <v>1064</v>
      </c>
    </row>
    <row r="36" spans="17:19" ht="16.5" thickBot="1">
      <c r="Q36" s="46"/>
      <c r="R36" s="50" t="e">
        <f>VLOOKUP(Q36,Roster!$A$2:$B$5000,2,FALSE)</f>
        <v>#N/A</v>
      </c>
      <c r="S36" s="39" t="s">
        <v>1064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0"/>
  <sheetViews>
    <sheetView topLeftCell="A4" zoomScale="70" zoomScaleNormal="70" workbookViewId="0">
      <selection activeCell="L40" sqref="L40"/>
    </sheetView>
  </sheetViews>
  <sheetFormatPr defaultColWidth="8.7109375" defaultRowHeight="15.75"/>
  <cols>
    <col min="1" max="2" width="20.5703125" style="1" customWidth="1"/>
    <col min="3" max="3" width="21.5703125" style="1" bestFit="1" customWidth="1"/>
    <col min="4" max="4" width="5.140625" style="1" customWidth="1"/>
    <col min="5" max="6" width="20.5703125" style="5" customWidth="1"/>
    <col min="7" max="7" width="22.42578125" style="5" bestFit="1" customWidth="1"/>
    <col min="8" max="8" width="5.140625" style="5" customWidth="1"/>
    <col min="9" max="10" width="20.5703125" style="5" customWidth="1"/>
    <col min="11" max="11" width="24" style="5" bestFit="1" customWidth="1"/>
    <col min="12" max="12" width="5.140625" style="5" customWidth="1"/>
    <col min="13" max="15" width="22.140625" style="5" customWidth="1"/>
    <col min="16" max="16" width="5.140625" style="5" customWidth="1"/>
    <col min="17" max="18" width="20.5703125" style="5" customWidth="1"/>
    <col min="19" max="19" width="12.5703125" style="5" customWidth="1"/>
    <col min="20" max="20" width="20.5703125" style="5" customWidth="1"/>
    <col min="21" max="21" width="16.7109375" style="5" customWidth="1"/>
    <col min="22" max="22" width="20.5703125" style="5" customWidth="1"/>
    <col min="23" max="23" width="16.5703125" style="5" customWidth="1"/>
    <col min="24" max="24" width="20.42578125" style="5" customWidth="1"/>
    <col min="25" max="25" width="10.5703125" style="5" customWidth="1"/>
    <col min="26" max="16384" width="8.7109375" style="5"/>
  </cols>
  <sheetData>
    <row r="1" spans="1:19" ht="15" customHeight="1" thickBot="1">
      <c r="A1" s="20" t="s">
        <v>23</v>
      </c>
      <c r="B1" s="20" t="s">
        <v>0</v>
      </c>
      <c r="C1" s="20" t="s">
        <v>1</v>
      </c>
      <c r="D1" s="2"/>
      <c r="E1" s="20" t="s">
        <v>23</v>
      </c>
      <c r="F1" s="20" t="s">
        <v>0</v>
      </c>
      <c r="G1" s="28" t="s">
        <v>1</v>
      </c>
      <c r="H1" s="2"/>
      <c r="I1" s="17" t="s">
        <v>1277</v>
      </c>
      <c r="J1" s="17" t="s">
        <v>0</v>
      </c>
      <c r="K1" s="19" t="s">
        <v>1</v>
      </c>
      <c r="L1" s="2"/>
      <c r="M1" s="20" t="s">
        <v>23</v>
      </c>
      <c r="N1" s="20" t="s">
        <v>0</v>
      </c>
      <c r="O1" s="20" t="s">
        <v>1</v>
      </c>
      <c r="P1" s="2"/>
      <c r="Q1" s="20" t="s">
        <v>23</v>
      </c>
      <c r="R1" s="20" t="s">
        <v>0</v>
      </c>
      <c r="S1" s="28" t="s">
        <v>1</v>
      </c>
    </row>
    <row r="2" spans="1:19" ht="14.45" customHeight="1">
      <c r="A2" s="23"/>
      <c r="B2" s="25" t="e">
        <f>VLOOKUP(A2,Roster!$A$2:$B$5000,2,FALSE)</f>
        <v>#N/A</v>
      </c>
      <c r="C2" s="33" t="s">
        <v>1040</v>
      </c>
      <c r="E2" s="29"/>
      <c r="F2" s="32" t="e">
        <f>VLOOKUP(E2,Roster!$A$2:$B$5000,2,FALSE)</f>
        <v>#N/A</v>
      </c>
      <c r="G2" s="33" t="s">
        <v>1042</v>
      </c>
      <c r="H2" s="1"/>
      <c r="I2" s="36"/>
      <c r="J2" s="22" t="e">
        <f>VLOOKUP(I2,Roster!$A$2:$B$5000,2,FALSE)</f>
        <v>#N/A</v>
      </c>
      <c r="K2" s="33" t="s">
        <v>1045</v>
      </c>
      <c r="L2" s="1"/>
      <c r="M2" s="29"/>
      <c r="N2" s="32" t="e">
        <f>VLOOKUP(M2,Roster!$A$2:$B$5000,2,FALSE)</f>
        <v>#N/A</v>
      </c>
      <c r="O2" s="43" t="s">
        <v>1048</v>
      </c>
      <c r="P2" s="1"/>
      <c r="Q2" s="36"/>
      <c r="R2" s="22" t="e">
        <f>VLOOKUP(Q2,Roster!$A$2:$B$5000,2,FALSE)</f>
        <v>#N/A</v>
      </c>
      <c r="S2" s="38" t="s">
        <v>1041</v>
      </c>
    </row>
    <row r="3" spans="1:19" ht="14.45" customHeight="1">
      <c r="A3" s="23"/>
      <c r="B3" s="25" t="e">
        <f>VLOOKUP(A3,Roster!$A$2:$B$5000,2,FALSE)</f>
        <v>#N/A</v>
      </c>
      <c r="C3" s="23" t="s">
        <v>1040</v>
      </c>
      <c r="E3" s="30"/>
      <c r="F3" s="25" t="e">
        <f>VLOOKUP(E3,Roster!$A$2:$B$5000,2,FALSE)</f>
        <v>#N/A</v>
      </c>
      <c r="G3" s="23" t="s">
        <v>1042</v>
      </c>
      <c r="H3" s="1"/>
      <c r="I3" s="30"/>
      <c r="J3" s="25" t="e">
        <f>VLOOKUP(I3,Roster!$A$2:$B$5000,2,FALSE)</f>
        <v>#N/A</v>
      </c>
      <c r="K3" s="23" t="s">
        <v>1045</v>
      </c>
      <c r="L3" s="1"/>
      <c r="M3" s="30"/>
      <c r="N3" s="25" t="e">
        <f>VLOOKUP(M3,Roster!$A$2:$B$5000,2,FALSE)</f>
        <v>#N/A</v>
      </c>
      <c r="O3" s="23" t="s">
        <v>1048</v>
      </c>
      <c r="P3" s="1"/>
      <c r="Q3" s="30"/>
      <c r="R3" s="25" t="e">
        <f>VLOOKUP(Q3,Roster!$A$2:$B$5000,2,FALSE)</f>
        <v>#N/A</v>
      </c>
      <c r="S3" s="38" t="s">
        <v>1041</v>
      </c>
    </row>
    <row r="4" spans="1:19" ht="14.45" customHeight="1">
      <c r="A4" s="23"/>
      <c r="B4" s="25" t="e">
        <f>VLOOKUP(A4,Roster!$A$2:$B$5000,2,FALSE)</f>
        <v>#N/A</v>
      </c>
      <c r="C4" s="23" t="s">
        <v>1040</v>
      </c>
      <c r="E4" s="30"/>
      <c r="F4" s="25" t="e">
        <f>VLOOKUP(E4,Roster!$A$2:$B$5000,2,FALSE)</f>
        <v>#N/A</v>
      </c>
      <c r="G4" s="23" t="s">
        <v>1042</v>
      </c>
      <c r="H4" s="1"/>
      <c r="I4" s="30"/>
      <c r="J4" s="25" t="e">
        <f>VLOOKUP(I4,Roster!$A$2:$B$5000,2,FALSE)</f>
        <v>#N/A</v>
      </c>
      <c r="K4" s="23" t="s">
        <v>1045</v>
      </c>
      <c r="L4" s="1"/>
      <c r="M4" s="30"/>
      <c r="N4" s="25" t="e">
        <f>VLOOKUP(M4,Roster!$A$2:$B$5000,2,FALSE)</f>
        <v>#N/A</v>
      </c>
      <c r="O4" s="23" t="s">
        <v>1048</v>
      </c>
      <c r="P4" s="1"/>
      <c r="Q4" s="30"/>
      <c r="R4" s="25" t="e">
        <f>VLOOKUP(Q4,Roster!$A$2:$B$5000,2,FALSE)</f>
        <v>#N/A</v>
      </c>
      <c r="S4" s="38" t="s">
        <v>1041</v>
      </c>
    </row>
    <row r="5" spans="1:19" ht="15" customHeight="1" thickBot="1">
      <c r="A5" s="23"/>
      <c r="B5" s="25" t="e">
        <f>VLOOKUP(A5,Roster!$A$2:$B$5000,2,FALSE)</f>
        <v>#N/A</v>
      </c>
      <c r="C5" s="23" t="s">
        <v>1040</v>
      </c>
      <c r="E5" s="31"/>
      <c r="F5" s="26" t="e">
        <f>VLOOKUP(E5,Roster!$A$2:$B$5000,2,FALSE)</f>
        <v>#N/A</v>
      </c>
      <c r="G5" s="24" t="s">
        <v>1042</v>
      </c>
      <c r="H5" s="1"/>
      <c r="I5" s="30"/>
      <c r="J5" s="25" t="e">
        <f>VLOOKUP(I5,Roster!$A$2:$B$5000,2,FALSE)</f>
        <v>#N/A</v>
      </c>
      <c r="K5" s="23" t="s">
        <v>1045</v>
      </c>
      <c r="L5" s="1"/>
      <c r="M5" s="30"/>
      <c r="N5" s="25" t="e">
        <f>VLOOKUP(M5,Roster!$A$2:$B$5000,2,FALSE)</f>
        <v>#N/A</v>
      </c>
      <c r="O5" s="23" t="s">
        <v>1048</v>
      </c>
      <c r="P5" s="1"/>
      <c r="Q5" s="30"/>
      <c r="R5" s="25" t="e">
        <f>VLOOKUP(Q5,Roster!$A$2:$B$5000,2,FALSE)</f>
        <v>#N/A</v>
      </c>
      <c r="S5" s="38" t="s">
        <v>1041</v>
      </c>
    </row>
    <row r="6" spans="1:19" ht="14.45" customHeight="1" thickBot="1">
      <c r="A6" s="23"/>
      <c r="B6" s="25" t="e">
        <f>VLOOKUP(A6,Roster!$A$2:$B$5000,2,FALSE)</f>
        <v>#N/A</v>
      </c>
      <c r="C6" s="23" t="s">
        <v>1040</v>
      </c>
      <c r="F6" s="27"/>
      <c r="G6" s="1"/>
      <c r="H6" s="1"/>
      <c r="I6" s="30"/>
      <c r="J6" s="25" t="e">
        <f>VLOOKUP(I6,Roster!$A$2:$B$5000,2,FALSE)</f>
        <v>#N/A</v>
      </c>
      <c r="K6" s="23" t="s">
        <v>1045</v>
      </c>
      <c r="M6" s="30"/>
      <c r="N6" s="25" t="e">
        <f>VLOOKUP(M6,Roster!$A$2:$B$5000,2,FALSE)</f>
        <v>#N/A</v>
      </c>
      <c r="O6" s="23" t="s">
        <v>1048</v>
      </c>
      <c r="Q6" s="30"/>
      <c r="R6" s="25" t="e">
        <f>VLOOKUP(Q6,Roster!$A$2:$B$5000,2,FALSE)</f>
        <v>#N/A</v>
      </c>
      <c r="S6" s="38" t="s">
        <v>1041</v>
      </c>
    </row>
    <row r="7" spans="1:19" ht="14.45" customHeight="1" thickBot="1">
      <c r="A7" s="23"/>
      <c r="B7" s="25" t="e">
        <f>VLOOKUP(A7,Roster!$A$2:$B$5000,2,FALSE)</f>
        <v>#N/A</v>
      </c>
      <c r="C7" s="23" t="s">
        <v>1040</v>
      </c>
      <c r="E7" s="20" t="s">
        <v>23</v>
      </c>
      <c r="F7" s="20" t="s">
        <v>0</v>
      </c>
      <c r="G7" s="20" t="s">
        <v>1</v>
      </c>
      <c r="H7" s="1"/>
      <c r="I7" s="31"/>
      <c r="J7" s="26" t="e">
        <f>VLOOKUP(I7,Roster!$A$2:$B$5000,2,FALSE)</f>
        <v>#N/A</v>
      </c>
      <c r="K7" s="24" t="s">
        <v>1045</v>
      </c>
      <c r="M7" s="31"/>
      <c r="N7" s="26" t="e">
        <f>VLOOKUP(M7,Roster!$A$2:$B$5000,2,FALSE)</f>
        <v>#N/A</v>
      </c>
      <c r="O7" s="24" t="s">
        <v>1048</v>
      </c>
      <c r="Q7" s="30"/>
      <c r="R7" s="25" t="e">
        <f>VLOOKUP(Q7,Roster!$A$2:$B$5000,2,FALSE)</f>
        <v>#N/A</v>
      </c>
      <c r="S7" s="38" t="s">
        <v>1041</v>
      </c>
    </row>
    <row r="8" spans="1:19" ht="14.45" customHeight="1" thickBot="1">
      <c r="A8" s="23"/>
      <c r="B8" s="25" t="e">
        <f>VLOOKUP(A8,Roster!$A$2:$B$5000,2,FALSE)</f>
        <v>#N/A</v>
      </c>
      <c r="C8" s="23" t="s">
        <v>1040</v>
      </c>
      <c r="E8" s="36"/>
      <c r="F8" s="22" t="e">
        <f>VLOOKUP(E8,Roster!$A$2:$B$5000,2,FALSE)</f>
        <v>#N/A</v>
      </c>
      <c r="G8" s="33" t="s">
        <v>1043</v>
      </c>
      <c r="H8" s="1"/>
      <c r="Q8" s="30"/>
      <c r="R8" s="25" t="e">
        <f>VLOOKUP(Q8,Roster!$A$2:$B$5000,2,FALSE)</f>
        <v>#N/A</v>
      </c>
      <c r="S8" s="38" t="s">
        <v>1041</v>
      </c>
    </row>
    <row r="9" spans="1:19" ht="14.45" customHeight="1" thickBot="1">
      <c r="A9" s="23"/>
      <c r="B9" s="25" t="e">
        <f>VLOOKUP(A9,Roster!$A$2:$B$5000,2,FALSE)</f>
        <v>#N/A</v>
      </c>
      <c r="C9" s="23" t="s">
        <v>1040</v>
      </c>
      <c r="E9" s="30"/>
      <c r="F9" s="25" t="e">
        <f>VLOOKUP(E9,Roster!$A$2:$B$5000,2,FALSE)</f>
        <v>#N/A</v>
      </c>
      <c r="G9" s="23" t="s">
        <v>1043</v>
      </c>
      <c r="H9" s="1"/>
      <c r="I9" s="20" t="s">
        <v>23</v>
      </c>
      <c r="J9" s="42" t="s">
        <v>0</v>
      </c>
      <c r="K9" s="21" t="s">
        <v>1</v>
      </c>
      <c r="M9" s="20" t="s">
        <v>23</v>
      </c>
      <c r="N9" s="18" t="s">
        <v>0</v>
      </c>
      <c r="O9" s="19" t="s">
        <v>1</v>
      </c>
      <c r="Q9" s="30"/>
      <c r="R9" s="25" t="e">
        <f>VLOOKUP(Q9,Roster!$A$2:$B$5000,2,FALSE)</f>
        <v>#N/A</v>
      </c>
      <c r="S9" s="38" t="s">
        <v>1041</v>
      </c>
    </row>
    <row r="10" spans="1:19" ht="15" customHeight="1">
      <c r="A10" s="23"/>
      <c r="B10" s="25" t="e">
        <f>VLOOKUP(A10,Roster!$A$2:$B$5000,2,FALSE)</f>
        <v>#N/A</v>
      </c>
      <c r="C10" s="23" t="s">
        <v>1040</v>
      </c>
      <c r="E10" s="30"/>
      <c r="F10" s="25" t="e">
        <f>VLOOKUP(E10,Roster!$A$2:$B$5000,2,FALSE)</f>
        <v>#N/A</v>
      </c>
      <c r="G10" s="23" t="s">
        <v>1043</v>
      </c>
      <c r="H10" s="1"/>
      <c r="I10" s="30"/>
      <c r="J10" s="22" t="e">
        <f>VLOOKUP(I10,Roster!$A$2:$B$5000,2,FALSE)</f>
        <v>#N/A</v>
      </c>
      <c r="K10" s="33" t="s">
        <v>1046</v>
      </c>
      <c r="M10" s="36"/>
      <c r="N10" s="22" t="e">
        <f>VLOOKUP(M10,Roster!$A$2:$B$5000,2,FALSE)</f>
        <v>#N/A</v>
      </c>
      <c r="O10" s="41" t="s">
        <v>1049</v>
      </c>
      <c r="Q10" s="30"/>
      <c r="R10" s="25" t="e">
        <f>VLOOKUP(Q10,Roster!$A$2:$B$5000,2,FALSE)</f>
        <v>#N/A</v>
      </c>
      <c r="S10" s="38" t="s">
        <v>1041</v>
      </c>
    </row>
    <row r="11" spans="1:19" ht="14.45" customHeight="1">
      <c r="A11" s="23"/>
      <c r="B11" s="25" t="e">
        <f>VLOOKUP(A11,Roster!$A$2:$B$5000,2,FALSE)</f>
        <v>#N/A</v>
      </c>
      <c r="C11" s="23" t="s">
        <v>1040</v>
      </c>
      <c r="E11" s="30"/>
      <c r="F11" s="25" t="e">
        <f>VLOOKUP(E11,Roster!$A$2:$B$5000,2,FALSE)</f>
        <v>#N/A</v>
      </c>
      <c r="G11" s="23" t="s">
        <v>1043</v>
      </c>
      <c r="H11" s="1"/>
      <c r="I11" s="30"/>
      <c r="J11" s="25" t="e">
        <f>VLOOKUP(I11,Roster!$A$2:$B$5000,2,FALSE)</f>
        <v>#N/A</v>
      </c>
      <c r="K11" s="23" t="s">
        <v>1046</v>
      </c>
      <c r="M11" s="30"/>
      <c r="N11" s="25" t="e">
        <f>VLOOKUP(M11,Roster!$A$2:$B$5000,2,FALSE)</f>
        <v>#N/A</v>
      </c>
      <c r="O11" s="39" t="s">
        <v>1049</v>
      </c>
      <c r="Q11" s="30"/>
      <c r="R11" s="25" t="e">
        <f>VLOOKUP(Q11,Roster!$A$2:$B$5000,2,FALSE)</f>
        <v>#N/A</v>
      </c>
      <c r="S11" s="38" t="s">
        <v>1041</v>
      </c>
    </row>
    <row r="12" spans="1:19" ht="15" customHeight="1" thickBot="1">
      <c r="A12" s="23"/>
      <c r="B12" s="25" t="e">
        <f>VLOOKUP(A12,Roster!$A$2:$B$5000,2,FALSE)</f>
        <v>#N/A</v>
      </c>
      <c r="C12" s="23" t="s">
        <v>1040</v>
      </c>
      <c r="E12" s="31"/>
      <c r="F12" s="26" t="e">
        <f>VLOOKUP(E12,Roster!$A$2:$B$5000,2,FALSE)</f>
        <v>#N/A</v>
      </c>
      <c r="G12" s="23" t="s">
        <v>1315</v>
      </c>
      <c r="H12" s="1"/>
      <c r="I12" s="30"/>
      <c r="J12" s="25" t="e">
        <f>VLOOKUP(I12,Roster!$A$2:$B$5000,2,FALSE)</f>
        <v>#N/A</v>
      </c>
      <c r="K12" s="23" t="s">
        <v>1046</v>
      </c>
      <c r="M12" s="30"/>
      <c r="N12" s="25" t="e">
        <f>VLOOKUP(M12,Roster!$A$2:$B$5000,2,FALSE)</f>
        <v>#N/A</v>
      </c>
      <c r="O12" s="39" t="s">
        <v>1049</v>
      </c>
      <c r="Q12" s="30"/>
      <c r="R12" s="25" t="e">
        <f>VLOOKUP(Q12,Roster!$A$2:$B$5000,2,FALSE)</f>
        <v>#N/A</v>
      </c>
      <c r="S12" s="38" t="s">
        <v>1041</v>
      </c>
    </row>
    <row r="13" spans="1:19" ht="16.5" thickBot="1">
      <c r="A13" s="23"/>
      <c r="B13" s="25" t="e">
        <f>VLOOKUP(A13,Roster!$A$2:$B$5000,2,FALSE)</f>
        <v>#N/A</v>
      </c>
      <c r="C13" s="23" t="s">
        <v>1040</v>
      </c>
      <c r="G13" s="1"/>
      <c r="H13" s="1"/>
      <c r="I13" s="30"/>
      <c r="J13" s="25" t="e">
        <f>VLOOKUP(I13,Roster!$A$2:$B$5000,2,FALSE)</f>
        <v>#N/A</v>
      </c>
      <c r="K13" s="23" t="s">
        <v>1046</v>
      </c>
      <c r="M13" s="30"/>
      <c r="N13" s="25" t="e">
        <f>VLOOKUP(M13,Roster!$A$2:$B$5000,2,FALSE)</f>
        <v>#N/A</v>
      </c>
      <c r="O13" s="39" t="s">
        <v>1049</v>
      </c>
      <c r="Q13" s="30"/>
      <c r="R13" s="25" t="e">
        <f>VLOOKUP(Q13,Roster!$A$2:$B$5000,2,FALSE)</f>
        <v>#N/A</v>
      </c>
      <c r="S13" s="38" t="s">
        <v>1041</v>
      </c>
    </row>
    <row r="14" spans="1:19" ht="16.5" thickBot="1">
      <c r="A14" s="23"/>
      <c r="B14" s="25" t="e">
        <f>VLOOKUP(A14,Roster!$A$2:$B$5000,2,FALSE)</f>
        <v>#N/A</v>
      </c>
      <c r="C14" s="23" t="s">
        <v>1040</v>
      </c>
      <c r="E14" s="20" t="s">
        <v>23</v>
      </c>
      <c r="F14" s="28" t="s">
        <v>0</v>
      </c>
      <c r="G14" s="20" t="s">
        <v>1</v>
      </c>
      <c r="I14" s="30"/>
      <c r="J14" s="25" t="e">
        <f>VLOOKUP(I14,Roster!$A$2:$B$5000,2,FALSE)</f>
        <v>#N/A</v>
      </c>
      <c r="K14" s="23" t="s">
        <v>1046</v>
      </c>
      <c r="M14" s="30"/>
      <c r="N14" s="25" t="e">
        <f>VLOOKUP(M14,Roster!$A$2:$B$5000,2,FALSE)</f>
        <v>#N/A</v>
      </c>
      <c r="O14" s="39" t="s">
        <v>1049</v>
      </c>
      <c r="Q14" s="30"/>
      <c r="R14" s="25" t="e">
        <f>VLOOKUP(Q14,Roster!$A$2:$B$5000,2,FALSE)</f>
        <v>#N/A</v>
      </c>
      <c r="S14" s="38" t="s">
        <v>1041</v>
      </c>
    </row>
    <row r="15" spans="1:19" ht="16.5" thickBot="1">
      <c r="A15" s="23"/>
      <c r="B15" s="25" t="e">
        <f>VLOOKUP(A15,Roster!$A$2:$B$5000,2,FALSE)</f>
        <v>#N/A</v>
      </c>
      <c r="C15" s="23" t="s">
        <v>1040</v>
      </c>
      <c r="E15" s="29"/>
      <c r="F15" s="22" t="e">
        <f>VLOOKUP(E15,Roster!$A$2:$B$5000,2,FALSE)</f>
        <v>#N/A</v>
      </c>
      <c r="G15" s="38" t="s">
        <v>1044</v>
      </c>
      <c r="I15" s="31"/>
      <c r="J15" s="26" t="e">
        <f>VLOOKUP(I15,Roster!$A$2:$B$5000,2,FALSE)</f>
        <v>#N/A</v>
      </c>
      <c r="K15" s="24" t="s">
        <v>1046</v>
      </c>
      <c r="M15" s="31"/>
      <c r="N15" s="26" t="e">
        <f>VLOOKUP(M15,Roster!$A$2:$B$5000,2,FALSE)</f>
        <v>#N/A</v>
      </c>
      <c r="O15" s="40" t="s">
        <v>1049</v>
      </c>
      <c r="Q15" s="30"/>
      <c r="R15" s="25" t="e">
        <f>VLOOKUP(Q15,Roster!$A$2:$B$5000,2,FALSE)</f>
        <v>#N/A</v>
      </c>
      <c r="S15" s="38" t="s">
        <v>1041</v>
      </c>
    </row>
    <row r="16" spans="1:19" ht="16.5" thickBot="1">
      <c r="A16" s="23"/>
      <c r="B16" s="25" t="e">
        <f>VLOOKUP(A16,Roster!$A$2:$B$5000,2,FALSE)</f>
        <v>#N/A</v>
      </c>
      <c r="C16" s="23" t="s">
        <v>1040</v>
      </c>
      <c r="E16" s="30"/>
      <c r="F16" s="25" t="e">
        <f>VLOOKUP(E16,Roster!$A$2:$B$5000,2,FALSE)</f>
        <v>#N/A</v>
      </c>
      <c r="G16" s="39" t="s">
        <v>1044</v>
      </c>
      <c r="Q16" s="30"/>
      <c r="R16" s="25" t="e">
        <f>VLOOKUP(Q16,Roster!$A$2:$B$5000,2,FALSE)</f>
        <v>#N/A</v>
      </c>
      <c r="S16" s="38" t="s">
        <v>1041</v>
      </c>
    </row>
    <row r="17" spans="1:19" ht="16.5" thickBot="1">
      <c r="A17" s="23"/>
      <c r="B17" s="25" t="e">
        <f>VLOOKUP(A17,Roster!$A$2:$B$5000,2,FALSE)</f>
        <v>#N/A</v>
      </c>
      <c r="C17" s="23" t="s">
        <v>1040</v>
      </c>
      <c r="E17" s="30"/>
      <c r="F17" s="25" t="e">
        <f>VLOOKUP(E17,Roster!$A$2:$B$5000,2,FALSE)</f>
        <v>#N/A</v>
      </c>
      <c r="G17" s="39" t="s">
        <v>1044</v>
      </c>
      <c r="I17" s="20" t="s">
        <v>23</v>
      </c>
      <c r="J17" s="20" t="s">
        <v>0</v>
      </c>
      <c r="K17" s="20" t="s">
        <v>1</v>
      </c>
      <c r="Q17" s="30"/>
      <c r="R17" s="25" t="e">
        <f>VLOOKUP(Q17,Roster!$A$2:$B$5000,2,FALSE)</f>
        <v>#N/A</v>
      </c>
      <c r="S17" s="38" t="s">
        <v>1041</v>
      </c>
    </row>
    <row r="18" spans="1:19" ht="16.5" thickBot="1">
      <c r="A18" s="23"/>
      <c r="B18" s="25" t="e">
        <f>VLOOKUP(A18,Roster!$A$2:$B$5000,2,FALSE)</f>
        <v>#N/A</v>
      </c>
      <c r="C18" s="23" t="s">
        <v>1040</v>
      </c>
      <c r="E18" s="30"/>
      <c r="F18" s="25" t="e">
        <f>VLOOKUP(E18,Roster!$A$2:$B$5000,2,FALSE)</f>
        <v>#N/A</v>
      </c>
      <c r="G18" s="39" t="s">
        <v>1044</v>
      </c>
      <c r="I18" s="29"/>
      <c r="J18" s="22" t="e">
        <f>VLOOKUP(I18,Roster!$A$2:$B$5000,2,FALSE)</f>
        <v>#N/A</v>
      </c>
      <c r="K18" s="33" t="s">
        <v>1047</v>
      </c>
      <c r="Q18" s="30"/>
      <c r="R18" s="25" t="e">
        <f>VLOOKUP(Q18,Roster!$A$2:$B$5000,2,FALSE)</f>
        <v>#N/A</v>
      </c>
      <c r="S18" s="38" t="s">
        <v>1041</v>
      </c>
    </row>
    <row r="19" spans="1:19" ht="16.5" thickBot="1">
      <c r="A19" s="23"/>
      <c r="B19" s="25" t="e">
        <f>VLOOKUP(A19,Roster!$A$2:$B$5000,2,FALSE)</f>
        <v>#N/A</v>
      </c>
      <c r="C19" s="23" t="s">
        <v>1040</v>
      </c>
      <c r="E19" s="31"/>
      <c r="F19" s="26" t="e">
        <f>VLOOKUP(E19,Roster!$A$2:$B$5000,2,FALSE)</f>
        <v>#N/A</v>
      </c>
      <c r="G19" s="40" t="s">
        <v>1044</v>
      </c>
      <c r="I19" s="30"/>
      <c r="J19" s="25" t="e">
        <f>VLOOKUP(I19,Roster!$A$2:$B$5000,2,FALSE)</f>
        <v>#N/A</v>
      </c>
      <c r="K19" s="33" t="s">
        <v>1047</v>
      </c>
      <c r="Q19" s="30"/>
      <c r="R19" s="25" t="e">
        <f>VLOOKUP(Q19,Roster!$A$2:$B$5000,2,FALSE)</f>
        <v>#N/A</v>
      </c>
      <c r="S19" s="38" t="s">
        <v>1041</v>
      </c>
    </row>
    <row r="20" spans="1:19" ht="16.5" thickBot="1">
      <c r="A20" s="23"/>
      <c r="B20" s="25" t="e">
        <f>VLOOKUP(A20,Roster!$A$2:$B$5000,2,FALSE)</f>
        <v>#N/A</v>
      </c>
      <c r="C20" s="23" t="s">
        <v>1040</v>
      </c>
      <c r="I20" s="30"/>
      <c r="J20" s="25" t="e">
        <f>VLOOKUP(I20,Roster!$A$2:$B$5000,2,FALSE)</f>
        <v>#N/A</v>
      </c>
      <c r="K20" s="33" t="s">
        <v>1047</v>
      </c>
      <c r="Q20" s="30"/>
      <c r="R20" s="25" t="e">
        <f>VLOOKUP(Q20,Roster!$A$2:$B$5000,2,FALSE)</f>
        <v>#N/A</v>
      </c>
      <c r="S20" s="38" t="s">
        <v>1041</v>
      </c>
    </row>
    <row r="21" spans="1:19" ht="16.5" thickBot="1">
      <c r="A21" s="23"/>
      <c r="B21" s="25" t="e">
        <f>VLOOKUP(A21,Roster!$A$2:$B$5000,2,FALSE)</f>
        <v>#N/A</v>
      </c>
      <c r="C21" s="23" t="s">
        <v>1040</v>
      </c>
      <c r="I21" s="30"/>
      <c r="J21" s="25" t="e">
        <f>VLOOKUP(I21,Roster!$A$2:$B$5000,2,FALSE)</f>
        <v>#N/A</v>
      </c>
      <c r="K21" s="33" t="s">
        <v>1047</v>
      </c>
      <c r="Q21" s="30"/>
      <c r="R21" s="25" t="e">
        <f>VLOOKUP(Q21,Roster!$A$2:$B$5000,2,FALSE)</f>
        <v>#N/A</v>
      </c>
      <c r="S21" s="38" t="s">
        <v>1041</v>
      </c>
    </row>
    <row r="22" spans="1:19" ht="16.5" thickBot="1">
      <c r="A22" s="23"/>
      <c r="B22" s="25" t="e">
        <f>VLOOKUP(A22,Roster!$A$2:$B$5000,2,FALSE)</f>
        <v>#N/A</v>
      </c>
      <c r="C22" s="23" t="s">
        <v>1040</v>
      </c>
      <c r="E22" s="5" t="s">
        <v>17</v>
      </c>
      <c r="I22" s="30"/>
      <c r="J22" s="25" t="e">
        <f>VLOOKUP(I22,Roster!$A$2:$B$5000,2,FALSE)</f>
        <v>#N/A</v>
      </c>
      <c r="K22" s="33" t="s">
        <v>1047</v>
      </c>
      <c r="Q22" s="30"/>
      <c r="R22" s="25" t="e">
        <f>VLOOKUP(Q22,Roster!$A$2:$B$5000,2,FALSE)</f>
        <v>#N/A</v>
      </c>
      <c r="S22" s="38" t="s">
        <v>1041</v>
      </c>
    </row>
    <row r="23" spans="1:19" ht="16.5" thickBot="1">
      <c r="A23" s="23"/>
      <c r="B23" s="25" t="e">
        <f>VLOOKUP(A23,Roster!$A$2:$B$5000,2,FALSE)</f>
        <v>#N/A</v>
      </c>
      <c r="C23" s="23" t="s">
        <v>1040</v>
      </c>
      <c r="E23" s="5" t="s">
        <v>17</v>
      </c>
      <c r="I23" s="31"/>
      <c r="J23" s="26" t="e">
        <f>VLOOKUP(I23,Roster!$A$2:$B$5000,2,FALSE)</f>
        <v>#N/A</v>
      </c>
      <c r="K23" s="33" t="s">
        <v>1047</v>
      </c>
      <c r="Q23" s="30"/>
      <c r="R23" s="25" t="e">
        <f>VLOOKUP(Q23,Roster!$A$2:$B$5000,2,FALSE)</f>
        <v>#N/A</v>
      </c>
      <c r="S23" s="38" t="s">
        <v>1041</v>
      </c>
    </row>
    <row r="24" spans="1:19">
      <c r="A24" s="23"/>
      <c r="B24" s="25" t="e">
        <f>VLOOKUP(A24,Roster!$A$2:$B$5000,2,FALSE)</f>
        <v>#N/A</v>
      </c>
      <c r="C24" s="23" t="s">
        <v>1040</v>
      </c>
      <c r="E24" s="5" t="s">
        <v>17</v>
      </c>
      <c r="Q24" s="30"/>
      <c r="R24" s="25" t="e">
        <f>VLOOKUP(Q24,Roster!$A$2:$B$5000,2,FALSE)</f>
        <v>#N/A</v>
      </c>
      <c r="S24" s="38" t="s">
        <v>1041</v>
      </c>
    </row>
    <row r="25" spans="1:19">
      <c r="A25" s="23"/>
      <c r="B25" s="25" t="e">
        <f>VLOOKUP(A25,Roster!$A$2:$B$5000,2,FALSE)</f>
        <v>#N/A</v>
      </c>
      <c r="C25" s="23" t="s">
        <v>1040</v>
      </c>
      <c r="E25" s="5" t="s">
        <v>17</v>
      </c>
      <c r="Q25" s="30"/>
      <c r="R25" s="25" t="e">
        <f>VLOOKUP(Q25,Roster!$A$2:$B$5000,2,FALSE)</f>
        <v>#N/A</v>
      </c>
      <c r="S25" s="38" t="s">
        <v>1041</v>
      </c>
    </row>
    <row r="26" spans="1:19">
      <c r="A26" s="23"/>
      <c r="B26" s="25" t="e">
        <f>VLOOKUP(A26,Roster!$A$2:$B$5000,2,FALSE)</f>
        <v>#N/A</v>
      </c>
      <c r="C26" s="23" t="s">
        <v>1040</v>
      </c>
      <c r="E26" s="5" t="s">
        <v>17</v>
      </c>
      <c r="Q26" s="30"/>
      <c r="R26" s="25" t="e">
        <f>VLOOKUP(Q26,Roster!$A$2:$B$5000,2,FALSE)</f>
        <v>#N/A</v>
      </c>
      <c r="S26" s="38" t="s">
        <v>1041</v>
      </c>
    </row>
    <row r="27" spans="1:19">
      <c r="A27" s="23"/>
      <c r="B27" s="25" t="e">
        <f>VLOOKUP(A27,Roster!$A$2:$B$5000,2,FALSE)</f>
        <v>#N/A</v>
      </c>
      <c r="C27" s="23" t="s">
        <v>1040</v>
      </c>
      <c r="E27" s="5" t="s">
        <v>17</v>
      </c>
      <c r="Q27" s="30"/>
      <c r="R27" s="25" t="e">
        <f>VLOOKUP(Q27,Roster!$A$2:$B$5000,2,FALSE)</f>
        <v>#N/A</v>
      </c>
      <c r="S27" s="38" t="s">
        <v>1041</v>
      </c>
    </row>
    <row r="28" spans="1:19">
      <c r="A28" s="23"/>
      <c r="B28" s="25" t="e">
        <f>VLOOKUP(A28,Roster!$A$2:$B$5000,2,FALSE)</f>
        <v>#N/A</v>
      </c>
      <c r="C28" s="23" t="s">
        <v>1040</v>
      </c>
      <c r="E28" s="5" t="s">
        <v>17</v>
      </c>
      <c r="Q28" s="30"/>
      <c r="R28" s="25" t="e">
        <f>VLOOKUP(Q28,Roster!$A$2:$B$5000,2,FALSE)</f>
        <v>#N/A</v>
      </c>
      <c r="S28" s="38" t="s">
        <v>1041</v>
      </c>
    </row>
    <row r="29" spans="1:19">
      <c r="A29" s="23"/>
      <c r="B29" s="25" t="e">
        <f>VLOOKUP(A29,Roster!$A$2:$B$5000,2,FALSE)</f>
        <v>#N/A</v>
      </c>
      <c r="C29" s="23" t="s">
        <v>1040</v>
      </c>
      <c r="E29" s="5" t="s">
        <v>17</v>
      </c>
      <c r="Q29" s="30"/>
      <c r="R29" s="25" t="e">
        <f>VLOOKUP(Q29,Roster!$A$2:$B$5000,2,FALSE)</f>
        <v>#N/A</v>
      </c>
      <c r="S29" s="38" t="s">
        <v>1041</v>
      </c>
    </row>
    <row r="30" spans="1:19">
      <c r="A30" s="23"/>
      <c r="B30" s="25" t="e">
        <f>VLOOKUP(A30,Roster!$A$2:$B$5000,2,FALSE)</f>
        <v>#N/A</v>
      </c>
      <c r="C30" s="23" t="s">
        <v>1040</v>
      </c>
      <c r="E30" s="5" t="s">
        <v>17</v>
      </c>
      <c r="Q30" s="30"/>
      <c r="R30" s="25" t="e">
        <f>VLOOKUP(Q30,Roster!$A$2:$B$5000,2,FALSE)</f>
        <v>#N/A</v>
      </c>
      <c r="S30" s="38" t="s">
        <v>1041</v>
      </c>
    </row>
    <row r="31" spans="1:19">
      <c r="A31" s="23"/>
      <c r="B31" s="25" t="e">
        <f>VLOOKUP(A31,Roster!$A$2:$B$5000,2,FALSE)</f>
        <v>#N/A</v>
      </c>
      <c r="C31" s="23" t="s">
        <v>1040</v>
      </c>
      <c r="E31" s="5" t="s">
        <v>17</v>
      </c>
      <c r="Q31" s="30"/>
      <c r="R31" s="25" t="e">
        <f>VLOOKUP(Q31,Roster!$A$2:$B$5000,2,FALSE)</f>
        <v>#N/A</v>
      </c>
      <c r="S31" s="38" t="s">
        <v>1041</v>
      </c>
    </row>
    <row r="32" spans="1:19">
      <c r="A32" s="23"/>
      <c r="B32" s="25" t="e">
        <f>VLOOKUP(A32,Roster!$A$2:$B$5000,2,FALSE)</f>
        <v>#N/A</v>
      </c>
      <c r="C32" s="23" t="s">
        <v>1040</v>
      </c>
      <c r="E32" s="5" t="s">
        <v>17</v>
      </c>
      <c r="Q32" s="30"/>
      <c r="R32" s="25" t="e">
        <f>VLOOKUP(Q32,Roster!$A$2:$B$5000,2,FALSE)</f>
        <v>#N/A</v>
      </c>
      <c r="S32" s="38" t="s">
        <v>1041</v>
      </c>
    </row>
    <row r="33" spans="1:19">
      <c r="A33" s="23"/>
      <c r="B33" s="25" t="e">
        <f>VLOOKUP(A33,Roster!$A$2:$B$5000,2,FALSE)</f>
        <v>#N/A</v>
      </c>
      <c r="C33" s="23" t="s">
        <v>1040</v>
      </c>
      <c r="E33" s="5" t="s">
        <v>17</v>
      </c>
      <c r="Q33" s="30"/>
      <c r="R33" s="25" t="e">
        <f>VLOOKUP(Q33,Roster!$A$2:$B$5000,2,FALSE)</f>
        <v>#N/A</v>
      </c>
      <c r="S33" s="38" t="s">
        <v>1041</v>
      </c>
    </row>
    <row r="34" spans="1:19">
      <c r="A34" s="23"/>
      <c r="B34" s="25" t="e">
        <f>VLOOKUP(A34,Roster!$A$2:$B$5000,2,FALSE)</f>
        <v>#N/A</v>
      </c>
      <c r="C34" s="23" t="s">
        <v>1040</v>
      </c>
      <c r="E34" s="5" t="s">
        <v>17</v>
      </c>
      <c r="Q34" s="30"/>
      <c r="R34" s="25" t="e">
        <f>VLOOKUP(Q34,Roster!$A$2:$B$5000,2,FALSE)</f>
        <v>#N/A</v>
      </c>
      <c r="S34" s="38" t="s">
        <v>1041</v>
      </c>
    </row>
    <row r="35" spans="1:19">
      <c r="A35" s="23"/>
      <c r="B35" s="25" t="e">
        <f>VLOOKUP(A35,Roster!$A$2:$B$5000,2,FALSE)</f>
        <v>#N/A</v>
      </c>
      <c r="C35" s="23" t="s">
        <v>1040</v>
      </c>
      <c r="E35" s="5" t="s">
        <v>17</v>
      </c>
      <c r="Q35" s="30"/>
      <c r="R35" s="25" t="e">
        <f>VLOOKUP(Q35,Roster!$A$2:$B$5000,2,FALSE)</f>
        <v>#N/A</v>
      </c>
      <c r="S35" s="38" t="s">
        <v>1041</v>
      </c>
    </row>
    <row r="36" spans="1:19">
      <c r="A36" s="23"/>
      <c r="B36" s="25" t="e">
        <f>VLOOKUP(A36,Roster!$A$2:$B$5000,2,FALSE)</f>
        <v>#N/A</v>
      </c>
      <c r="C36" s="23" t="s">
        <v>1040</v>
      </c>
      <c r="E36" s="5" t="s">
        <v>17</v>
      </c>
      <c r="Q36" s="30"/>
      <c r="R36" s="25" t="e">
        <f>VLOOKUP(Q36,Roster!$A$2:$B$5000,2,FALSE)</f>
        <v>#N/A</v>
      </c>
      <c r="S36" s="38" t="s">
        <v>1041</v>
      </c>
    </row>
    <row r="37" spans="1:19">
      <c r="A37" s="23"/>
      <c r="B37" s="25" t="e">
        <f>VLOOKUP(A37,Roster!$A$2:$B$5000,2,FALSE)</f>
        <v>#N/A</v>
      </c>
      <c r="C37" s="23" t="s">
        <v>1040</v>
      </c>
      <c r="E37" s="5" t="s">
        <v>17</v>
      </c>
      <c r="Q37" s="30"/>
      <c r="R37" s="25" t="e">
        <f>VLOOKUP(Q37,Roster!$A$2:$B$5000,2,FALSE)</f>
        <v>#N/A</v>
      </c>
      <c r="S37" s="38" t="s">
        <v>1041</v>
      </c>
    </row>
    <row r="38" spans="1:19">
      <c r="A38" s="23"/>
      <c r="B38" s="25" t="e">
        <f>VLOOKUP(A38,Roster!$A$2:$B$5000,2,FALSE)</f>
        <v>#N/A</v>
      </c>
      <c r="C38" s="23" t="s">
        <v>1040</v>
      </c>
      <c r="E38" s="5" t="s">
        <v>17</v>
      </c>
      <c r="Q38" s="30"/>
      <c r="R38" s="25" t="e">
        <f>VLOOKUP(Q38,Roster!$A$2:$B$5000,2,FALSE)</f>
        <v>#N/A</v>
      </c>
      <c r="S38" s="38" t="s">
        <v>1041</v>
      </c>
    </row>
    <row r="39" spans="1:19">
      <c r="A39" s="23"/>
      <c r="B39" s="25" t="e">
        <f>VLOOKUP(A39,Roster!$A$2:$B$5000,2,FALSE)</f>
        <v>#N/A</v>
      </c>
      <c r="C39" s="23" t="s">
        <v>1040</v>
      </c>
      <c r="E39" s="5" t="s">
        <v>17</v>
      </c>
      <c r="Q39" s="30"/>
      <c r="R39" s="25" t="e">
        <f>VLOOKUP(Q39,Roster!$A$2:$B$5000,2,FALSE)</f>
        <v>#N/A</v>
      </c>
      <c r="S39" s="38" t="s">
        <v>1041</v>
      </c>
    </row>
    <row r="40" spans="1:19">
      <c r="A40" s="23"/>
      <c r="B40" s="25" t="e">
        <f>VLOOKUP(A40,Roster!$A$2:$B$5000,2,FALSE)</f>
        <v>#N/A</v>
      </c>
      <c r="C40" s="23" t="s">
        <v>1040</v>
      </c>
      <c r="E40" s="5" t="s">
        <v>17</v>
      </c>
      <c r="Q40" s="30"/>
      <c r="R40" s="25" t="e">
        <f>VLOOKUP(Q40,Roster!$A$2:$B$5000,2,FALSE)</f>
        <v>#N/A</v>
      </c>
      <c r="S40" s="38" t="s">
        <v>1041</v>
      </c>
    </row>
    <row r="41" spans="1:19">
      <c r="A41" s="23"/>
      <c r="B41" s="25" t="e">
        <f>VLOOKUP(A41,Roster!$A$2:$B$5000,2,FALSE)</f>
        <v>#N/A</v>
      </c>
      <c r="C41" s="23" t="s">
        <v>1040</v>
      </c>
      <c r="E41" s="5" t="s">
        <v>17</v>
      </c>
      <c r="Q41" s="30"/>
      <c r="R41" s="25" t="e">
        <f>VLOOKUP(Q41,Roster!$A$2:$B$5000,2,FALSE)</f>
        <v>#N/A</v>
      </c>
      <c r="S41" s="38" t="s">
        <v>1041</v>
      </c>
    </row>
    <row r="42" spans="1:19">
      <c r="A42" s="23"/>
      <c r="B42" s="25" t="e">
        <f>VLOOKUP(A42,Roster!$A$2:$B$5000,2,FALSE)</f>
        <v>#N/A</v>
      </c>
      <c r="C42" s="23" t="s">
        <v>1040</v>
      </c>
      <c r="E42" s="5" t="s">
        <v>17</v>
      </c>
      <c r="Q42" s="30"/>
      <c r="R42" s="25" t="e">
        <f>VLOOKUP(Q42,Roster!$A$2:$B$5000,2,FALSE)</f>
        <v>#N/A</v>
      </c>
      <c r="S42" s="38" t="s">
        <v>1041</v>
      </c>
    </row>
    <row r="43" spans="1:19">
      <c r="A43" s="23"/>
      <c r="B43" s="25" t="e">
        <f>VLOOKUP(A43,Roster!$A$2:$B$5000,2,FALSE)</f>
        <v>#N/A</v>
      </c>
      <c r="C43" s="23" t="s">
        <v>1040</v>
      </c>
      <c r="E43" s="5" t="s">
        <v>17</v>
      </c>
      <c r="Q43" s="30"/>
      <c r="R43" s="25" t="e">
        <f>VLOOKUP(Q43,Roster!$A$2:$B$5000,2,FALSE)</f>
        <v>#N/A</v>
      </c>
      <c r="S43" s="38" t="s">
        <v>1041</v>
      </c>
    </row>
    <row r="44" spans="1:19">
      <c r="A44" s="23"/>
      <c r="B44" s="25" t="e">
        <f>VLOOKUP(A44,Roster!$A$2:$B$5000,2,FALSE)</f>
        <v>#N/A</v>
      </c>
      <c r="C44" s="23" t="s">
        <v>1040</v>
      </c>
      <c r="E44" s="5" t="s">
        <v>17</v>
      </c>
      <c r="Q44" s="30"/>
      <c r="R44" s="25" t="e">
        <f>VLOOKUP(Q44,Roster!$A$2:$B$5000,2,FALSE)</f>
        <v>#N/A</v>
      </c>
      <c r="S44" s="38" t="s">
        <v>1041</v>
      </c>
    </row>
    <row r="45" spans="1:19">
      <c r="A45" s="23"/>
      <c r="B45" s="25" t="e">
        <f>VLOOKUP(A45,Roster!$A$2:$B$5000,2,FALSE)</f>
        <v>#N/A</v>
      </c>
      <c r="C45" s="23" t="s">
        <v>1040</v>
      </c>
      <c r="E45" s="5" t="s">
        <v>17</v>
      </c>
      <c r="Q45" s="30"/>
      <c r="R45" s="25" t="e">
        <f>VLOOKUP(Q45,Roster!$A$2:$B$5000,2,FALSE)</f>
        <v>#N/A</v>
      </c>
      <c r="S45" s="38" t="s">
        <v>1041</v>
      </c>
    </row>
    <row r="46" spans="1:19">
      <c r="A46" s="23"/>
      <c r="B46" s="25" t="e">
        <f>VLOOKUP(A46,Roster!$A$2:$B$5000,2,FALSE)</f>
        <v>#N/A</v>
      </c>
      <c r="C46" s="23" t="s">
        <v>1040</v>
      </c>
      <c r="E46" s="5" t="s">
        <v>17</v>
      </c>
      <c r="Q46" s="30"/>
      <c r="R46" s="25" t="e">
        <f>VLOOKUP(Q46,Roster!$A$2:$B$5000,2,FALSE)</f>
        <v>#N/A</v>
      </c>
      <c r="S46" s="38" t="s">
        <v>1041</v>
      </c>
    </row>
    <row r="47" spans="1:19">
      <c r="A47" s="23"/>
      <c r="B47" s="25" t="e">
        <f>VLOOKUP(A47,Roster!$A$2:$B$5000,2,FALSE)</f>
        <v>#N/A</v>
      </c>
      <c r="C47" s="23" t="s">
        <v>1040</v>
      </c>
      <c r="E47" s="5" t="s">
        <v>17</v>
      </c>
      <c r="Q47" s="30"/>
      <c r="R47" s="25" t="e">
        <f>VLOOKUP(Q47,Roster!$A$2:$B$5000,2,FALSE)</f>
        <v>#N/A</v>
      </c>
      <c r="S47" s="38" t="s">
        <v>1041</v>
      </c>
    </row>
    <row r="48" spans="1:19">
      <c r="A48" s="23"/>
      <c r="B48" s="25" t="e">
        <f>VLOOKUP(A48,Roster!$A$2:$B$5000,2,FALSE)</f>
        <v>#N/A</v>
      </c>
      <c r="C48" s="23" t="s">
        <v>1040</v>
      </c>
      <c r="E48" s="5" t="s">
        <v>17</v>
      </c>
      <c r="Q48" s="30"/>
      <c r="R48" s="25" t="e">
        <f>VLOOKUP(Q48,Roster!$A$2:$B$5000,2,FALSE)</f>
        <v>#N/A</v>
      </c>
      <c r="S48" s="38" t="s">
        <v>1041</v>
      </c>
    </row>
    <row r="49" spans="1:19">
      <c r="A49" s="23"/>
      <c r="B49" s="25" t="e">
        <f>VLOOKUP(A49,Roster!$A$2:$B$5000,2,FALSE)</f>
        <v>#N/A</v>
      </c>
      <c r="C49" s="23" t="s">
        <v>1040</v>
      </c>
      <c r="E49" s="5" t="s">
        <v>17</v>
      </c>
      <c r="Q49" s="30"/>
      <c r="R49" s="25" t="e">
        <f>VLOOKUP(Q49,Roster!$A$2:$B$5000,2,FALSE)</f>
        <v>#N/A</v>
      </c>
      <c r="S49" s="38" t="s">
        <v>1041</v>
      </c>
    </row>
    <row r="50" spans="1:19">
      <c r="A50" s="23"/>
      <c r="B50" s="25" t="e">
        <f>VLOOKUP(A50,Roster!$A$2:$B$5000,2,FALSE)</f>
        <v>#N/A</v>
      </c>
      <c r="C50" s="23" t="s">
        <v>1040</v>
      </c>
      <c r="E50" s="5" t="s">
        <v>17</v>
      </c>
      <c r="Q50" s="30"/>
      <c r="R50" s="25" t="e">
        <f>VLOOKUP(Q50,Roster!$A$2:$B$5000,2,FALSE)</f>
        <v>#N/A</v>
      </c>
      <c r="S50" s="38" t="s">
        <v>1041</v>
      </c>
    </row>
    <row r="51" spans="1:19">
      <c r="A51" s="23"/>
      <c r="B51" s="25" t="e">
        <f>VLOOKUP(A51,Roster!$A$2:$B$5000,2,FALSE)</f>
        <v>#N/A</v>
      </c>
      <c r="C51" s="23" t="s">
        <v>1040</v>
      </c>
      <c r="E51" s="5" t="s">
        <v>17</v>
      </c>
      <c r="Q51" s="30"/>
      <c r="R51" s="25" t="e">
        <f>VLOOKUP(Q51,Roster!$A$2:$B$5000,2,FALSE)</f>
        <v>#N/A</v>
      </c>
      <c r="S51" s="38" t="s">
        <v>1041</v>
      </c>
    </row>
    <row r="52" spans="1:19">
      <c r="A52" s="23"/>
      <c r="B52" s="25" t="e">
        <f>VLOOKUP(A52,Roster!$A$2:$B$5000,2,FALSE)</f>
        <v>#N/A</v>
      </c>
      <c r="C52" s="23" t="s">
        <v>1040</v>
      </c>
      <c r="E52" s="5" t="s">
        <v>17</v>
      </c>
      <c r="Q52" s="30"/>
      <c r="R52" s="25" t="e">
        <f>VLOOKUP(Q52,Roster!$A$2:$B$5000,2,FALSE)</f>
        <v>#N/A</v>
      </c>
      <c r="S52" s="38" t="s">
        <v>1041</v>
      </c>
    </row>
    <row r="53" spans="1:19">
      <c r="A53" s="23"/>
      <c r="B53" s="25" t="e">
        <f>VLOOKUP(A53,Roster!$A$2:$B$5000,2,FALSE)</f>
        <v>#N/A</v>
      </c>
      <c r="C53" s="23" t="s">
        <v>1040</v>
      </c>
      <c r="E53" s="5" t="s">
        <v>17</v>
      </c>
      <c r="Q53" s="30"/>
      <c r="R53" s="25" t="e">
        <f>VLOOKUP(Q53,Roster!$A$2:$B$5000,2,FALSE)</f>
        <v>#N/A</v>
      </c>
      <c r="S53" s="38" t="s">
        <v>1041</v>
      </c>
    </row>
    <row r="54" spans="1:19">
      <c r="A54" s="23"/>
      <c r="B54" s="25" t="e">
        <f>VLOOKUP(A54,Roster!$A$2:$B$5000,2,FALSE)</f>
        <v>#N/A</v>
      </c>
      <c r="C54" s="23" t="s">
        <v>1040</v>
      </c>
      <c r="E54" s="5" t="s">
        <v>17</v>
      </c>
      <c r="Q54" s="30"/>
      <c r="R54" s="25" t="e">
        <f>VLOOKUP(Q54,Roster!$A$2:$B$5000,2,FALSE)</f>
        <v>#N/A</v>
      </c>
      <c r="S54" s="38" t="s">
        <v>1041</v>
      </c>
    </row>
    <row r="55" spans="1:19">
      <c r="A55" s="23"/>
      <c r="B55" s="25" t="e">
        <f>VLOOKUP(A55,Roster!$A$2:$B$5000,2,FALSE)</f>
        <v>#N/A</v>
      </c>
      <c r="C55" s="23" t="s">
        <v>1040</v>
      </c>
      <c r="E55" s="5" t="s">
        <v>18</v>
      </c>
      <c r="Q55" s="30"/>
      <c r="R55" s="25" t="e">
        <f>VLOOKUP(Q55,Roster!$A$2:$B$5000,2,FALSE)</f>
        <v>#N/A</v>
      </c>
      <c r="S55" s="38" t="s">
        <v>1041</v>
      </c>
    </row>
    <row r="56" spans="1:19">
      <c r="A56" s="23"/>
      <c r="B56" s="25" t="e">
        <f>VLOOKUP(A56,Roster!$A$2:$B$5000,2,FALSE)</f>
        <v>#N/A</v>
      </c>
      <c r="C56" s="23" t="s">
        <v>1040</v>
      </c>
      <c r="E56" s="5" t="s">
        <v>17</v>
      </c>
      <c r="Q56" s="30"/>
      <c r="R56" s="25" t="e">
        <f>VLOOKUP(Q56,Roster!$A$2:$B$5000,2,FALSE)</f>
        <v>#N/A</v>
      </c>
      <c r="S56" s="38" t="s">
        <v>1041</v>
      </c>
    </row>
    <row r="57" spans="1:19">
      <c r="A57" s="23"/>
      <c r="B57" s="25" t="e">
        <f>VLOOKUP(A57,Roster!$A$2:$B$5000,2,FALSE)</f>
        <v>#N/A</v>
      </c>
      <c r="C57" s="23" t="s">
        <v>1040</v>
      </c>
      <c r="E57" s="5" t="s">
        <v>17</v>
      </c>
      <c r="Q57" s="30"/>
      <c r="R57" s="25" t="e">
        <f>VLOOKUP(Q57,Roster!$A$2:$B$5000,2,FALSE)</f>
        <v>#N/A</v>
      </c>
      <c r="S57" s="38" t="s">
        <v>1041</v>
      </c>
    </row>
    <row r="58" spans="1:19">
      <c r="A58" s="23"/>
      <c r="B58" s="25" t="e">
        <f>VLOOKUP(A58,Roster!$A$2:$B$5000,2,FALSE)</f>
        <v>#N/A</v>
      </c>
      <c r="C58" s="23" t="s">
        <v>1040</v>
      </c>
      <c r="E58" s="5" t="s">
        <v>17</v>
      </c>
      <c r="Q58" s="30"/>
      <c r="R58" s="25" t="e">
        <f>VLOOKUP(Q58,Roster!$A$2:$B$5000,2,FALSE)</f>
        <v>#N/A</v>
      </c>
      <c r="S58" s="38" t="s">
        <v>1041</v>
      </c>
    </row>
    <row r="59" spans="1:19">
      <c r="A59" s="23"/>
      <c r="B59" s="25" t="e">
        <f>VLOOKUP(A59,Roster!$A$2:$B$5000,2,FALSE)</f>
        <v>#N/A</v>
      </c>
      <c r="C59" s="23" t="s">
        <v>1040</v>
      </c>
      <c r="E59" s="5" t="s">
        <v>17</v>
      </c>
      <c r="Q59" s="30"/>
      <c r="R59" s="25" t="e">
        <f>VLOOKUP(Q59,Roster!$A$2:$B$5000,2,FALSE)</f>
        <v>#N/A</v>
      </c>
      <c r="S59" s="38" t="s">
        <v>1041</v>
      </c>
    </row>
    <row r="60" spans="1:19">
      <c r="A60" s="23"/>
      <c r="B60" s="25" t="e">
        <f>VLOOKUP(A60,Roster!$A$2:$B$5000,2,FALSE)</f>
        <v>#N/A</v>
      </c>
      <c r="C60" s="23" t="s">
        <v>1040</v>
      </c>
      <c r="E60" s="5" t="s">
        <v>17</v>
      </c>
      <c r="Q60" s="30"/>
      <c r="R60" s="25" t="e">
        <f>VLOOKUP(Q60,Roster!$A$2:$B$5000,2,FALSE)</f>
        <v>#N/A</v>
      </c>
      <c r="S60" s="38" t="s">
        <v>1041</v>
      </c>
    </row>
    <row r="61" spans="1:19">
      <c r="A61" s="23"/>
      <c r="B61" s="25" t="e">
        <f>VLOOKUP(A61,Roster!$A$2:$B$5000,2,FALSE)</f>
        <v>#N/A</v>
      </c>
      <c r="C61" s="23" t="s">
        <v>1040</v>
      </c>
      <c r="E61" s="5" t="s">
        <v>17</v>
      </c>
      <c r="Q61" s="30"/>
      <c r="R61" s="25" t="e">
        <f>VLOOKUP(Q61,Roster!$A$2:$B$5000,2,FALSE)</f>
        <v>#N/A</v>
      </c>
      <c r="S61" s="38" t="s">
        <v>1041</v>
      </c>
    </row>
    <row r="62" spans="1:19">
      <c r="A62" s="23"/>
      <c r="B62" s="25" t="e">
        <f>VLOOKUP(A62,Roster!$A$2:$B$5000,2,FALSE)</f>
        <v>#N/A</v>
      </c>
      <c r="C62" s="23" t="s">
        <v>1040</v>
      </c>
      <c r="E62" s="5" t="s">
        <v>17</v>
      </c>
      <c r="Q62" s="30"/>
      <c r="R62" s="25" t="e">
        <f>VLOOKUP(Q62,Roster!$A$2:$B$5000,2,FALSE)</f>
        <v>#N/A</v>
      </c>
      <c r="S62" s="38" t="s">
        <v>1041</v>
      </c>
    </row>
    <row r="63" spans="1:19">
      <c r="A63" s="23"/>
      <c r="B63" s="25" t="e">
        <f>VLOOKUP(A63,Roster!$A$2:$B$5000,2,FALSE)</f>
        <v>#N/A</v>
      </c>
      <c r="C63" s="23" t="s">
        <v>1040</v>
      </c>
      <c r="E63" s="5" t="s">
        <v>17</v>
      </c>
      <c r="Q63" s="30"/>
      <c r="R63" s="25" t="e">
        <f>VLOOKUP(Q63,Roster!$A$2:$B$5000,2,FALSE)</f>
        <v>#N/A</v>
      </c>
      <c r="S63" s="38" t="s">
        <v>1041</v>
      </c>
    </row>
    <row r="64" spans="1:19">
      <c r="A64" s="23"/>
      <c r="B64" s="25" t="e">
        <f>VLOOKUP(A64,Roster!$A$2:$B$5000,2,FALSE)</f>
        <v>#N/A</v>
      </c>
      <c r="C64" s="23" t="s">
        <v>1040</v>
      </c>
      <c r="Q64" s="30"/>
      <c r="R64" s="25" t="e">
        <f>VLOOKUP(Q64,Roster!$A$2:$B$5000,2,FALSE)</f>
        <v>#N/A</v>
      </c>
      <c r="S64" s="38" t="s">
        <v>1041</v>
      </c>
    </row>
    <row r="65" spans="1:19">
      <c r="A65" s="23"/>
      <c r="B65" s="25" t="e">
        <f>VLOOKUP(A65,Roster!$A$2:$B$5000,2,FALSE)</f>
        <v>#N/A</v>
      </c>
      <c r="C65" s="23" t="s">
        <v>1040</v>
      </c>
      <c r="Q65" s="30"/>
      <c r="R65" s="25" t="e">
        <f>VLOOKUP(Q65,Roster!$A$2:$B$5000,2,FALSE)</f>
        <v>#N/A</v>
      </c>
      <c r="S65" s="38" t="s">
        <v>1041</v>
      </c>
    </row>
    <row r="66" spans="1:19">
      <c r="A66" s="23"/>
      <c r="B66" s="25" t="e">
        <f>VLOOKUP(A66,Roster!$A$2:$B$5000,2,FALSE)</f>
        <v>#N/A</v>
      </c>
      <c r="C66" s="23" t="s">
        <v>1040</v>
      </c>
      <c r="Q66" s="30"/>
      <c r="R66" s="25" t="e">
        <f>VLOOKUP(Q66,Roster!$A$2:$B$5000,2,FALSE)</f>
        <v>#N/A</v>
      </c>
      <c r="S66" s="38" t="s">
        <v>1041</v>
      </c>
    </row>
    <row r="67" spans="1:19">
      <c r="A67" s="23"/>
      <c r="B67" s="25" t="e">
        <f>VLOOKUP(A67,Roster!$A$2:$B$5000,2,FALSE)</f>
        <v>#N/A</v>
      </c>
      <c r="C67" s="23" t="s">
        <v>1040</v>
      </c>
      <c r="Q67" s="30"/>
      <c r="R67" s="25" t="e">
        <f>VLOOKUP(Q67,Roster!$A$2:$B$5000,2,FALSE)</f>
        <v>#N/A</v>
      </c>
      <c r="S67" s="38" t="s">
        <v>1041</v>
      </c>
    </row>
    <row r="68" spans="1:19">
      <c r="A68" s="23"/>
      <c r="B68" s="25" t="e">
        <f>VLOOKUP(A68,Roster!$A$2:$B$5000,2,FALSE)</f>
        <v>#N/A</v>
      </c>
      <c r="C68" s="23" t="s">
        <v>1040</v>
      </c>
      <c r="Q68" s="30"/>
      <c r="R68" s="25" t="e">
        <f>VLOOKUP(Q68,Roster!$A$2:$B$5000,2,FALSE)</f>
        <v>#N/A</v>
      </c>
      <c r="S68" s="38" t="s">
        <v>1041</v>
      </c>
    </row>
    <row r="69" spans="1:19">
      <c r="A69" s="23"/>
      <c r="B69" s="25" t="e">
        <f>VLOOKUP(A69,Roster!$A$2:$B$5000,2,FALSE)</f>
        <v>#N/A</v>
      </c>
      <c r="C69" s="23" t="s">
        <v>1040</v>
      </c>
      <c r="Q69" s="30"/>
      <c r="R69" s="25" t="e">
        <f>VLOOKUP(Q69,Roster!$A$2:$B$5000,2,FALSE)</f>
        <v>#N/A</v>
      </c>
      <c r="S69" s="38" t="s">
        <v>1041</v>
      </c>
    </row>
    <row r="70" spans="1:19">
      <c r="A70" s="23"/>
      <c r="B70" s="25" t="e">
        <f>VLOOKUP(A70,Roster!$A$2:$B$5000,2,FALSE)</f>
        <v>#N/A</v>
      </c>
      <c r="C70" s="23" t="s">
        <v>1040</v>
      </c>
      <c r="Q70" s="30"/>
      <c r="R70" s="25" t="e">
        <f>VLOOKUP(Q70,Roster!$A$2:$B$5000,2,FALSE)</f>
        <v>#N/A</v>
      </c>
      <c r="S70" s="38" t="s">
        <v>1041</v>
      </c>
    </row>
    <row r="71" spans="1:19">
      <c r="A71" s="23"/>
      <c r="B71" s="25" t="e">
        <f>VLOOKUP(A71,Roster!$A$2:$B$5000,2,FALSE)</f>
        <v>#N/A</v>
      </c>
      <c r="C71" s="23" t="s">
        <v>1040</v>
      </c>
      <c r="Q71" s="30"/>
      <c r="R71" s="25" t="e">
        <f>VLOOKUP(Q71,Roster!$A$2:$B$5000,2,FALSE)</f>
        <v>#N/A</v>
      </c>
      <c r="S71" s="38" t="s">
        <v>1041</v>
      </c>
    </row>
    <row r="72" spans="1:19">
      <c r="A72" s="23"/>
      <c r="B72" s="25" t="e">
        <f>VLOOKUP(A72,Roster!$A$2:$B$5000,2,FALSE)</f>
        <v>#N/A</v>
      </c>
      <c r="C72" s="23" t="s">
        <v>1040</v>
      </c>
      <c r="Q72" s="30"/>
      <c r="R72" s="25" t="e">
        <f>VLOOKUP(Q72,Roster!$A$2:$B$5000,2,FALSE)</f>
        <v>#N/A</v>
      </c>
      <c r="S72" s="38" t="s">
        <v>1041</v>
      </c>
    </row>
    <row r="73" spans="1:19">
      <c r="A73" s="23"/>
      <c r="B73" s="25" t="e">
        <f>VLOOKUP(A73,Roster!$A$2:$B$5000,2,FALSE)</f>
        <v>#N/A</v>
      </c>
      <c r="C73" s="23" t="s">
        <v>1040</v>
      </c>
      <c r="Q73" s="30"/>
      <c r="R73" s="25" t="e">
        <f>VLOOKUP(Q73,Roster!$A$2:$B$5000,2,FALSE)</f>
        <v>#N/A</v>
      </c>
      <c r="S73" s="38" t="s">
        <v>1041</v>
      </c>
    </row>
    <row r="74" spans="1:19">
      <c r="A74" s="23"/>
      <c r="B74" s="25" t="e">
        <f>VLOOKUP(A74,Roster!$A$2:$B$5000,2,FALSE)</f>
        <v>#N/A</v>
      </c>
      <c r="C74" s="23" t="s">
        <v>1040</v>
      </c>
      <c r="Q74" s="30"/>
      <c r="R74" s="25" t="e">
        <f>VLOOKUP(Q74,Roster!$A$2:$B$5000,2,FALSE)</f>
        <v>#N/A</v>
      </c>
      <c r="S74" s="38" t="s">
        <v>1041</v>
      </c>
    </row>
    <row r="75" spans="1:19">
      <c r="A75" s="23"/>
      <c r="B75" s="25" t="e">
        <f>VLOOKUP(A75,Roster!$A$2:$B$5000,2,FALSE)</f>
        <v>#N/A</v>
      </c>
      <c r="C75" s="23" t="s">
        <v>1040</v>
      </c>
      <c r="Q75" s="30"/>
      <c r="R75" s="25" t="e">
        <f>VLOOKUP(Q75,Roster!$A$2:$B$5000,2,FALSE)</f>
        <v>#N/A</v>
      </c>
      <c r="S75" s="38" t="s">
        <v>1041</v>
      </c>
    </row>
    <row r="76" spans="1:19">
      <c r="A76" s="23"/>
      <c r="B76" s="25" t="e">
        <f>VLOOKUP(A76,Roster!$A$2:$B$5000,2,FALSE)</f>
        <v>#N/A</v>
      </c>
      <c r="C76" s="23" t="s">
        <v>1040</v>
      </c>
      <c r="Q76" s="30"/>
      <c r="R76" s="25" t="e">
        <f>VLOOKUP(Q76,Roster!$A$2:$B$5000,2,FALSE)</f>
        <v>#N/A</v>
      </c>
      <c r="S76" s="38" t="s">
        <v>1041</v>
      </c>
    </row>
    <row r="77" spans="1:19">
      <c r="A77" s="23"/>
      <c r="B77" s="25" t="e">
        <f>VLOOKUP(A77,Roster!$A$2:$B$5000,2,FALSE)</f>
        <v>#N/A</v>
      </c>
      <c r="C77" s="23" t="s">
        <v>1040</v>
      </c>
      <c r="Q77" s="30"/>
      <c r="R77" s="25" t="e">
        <f>VLOOKUP(Q77,Roster!$A$2:$B$5000,2,FALSE)</f>
        <v>#N/A</v>
      </c>
      <c r="S77" s="38" t="s">
        <v>1041</v>
      </c>
    </row>
    <row r="78" spans="1:19">
      <c r="A78" s="23"/>
      <c r="B78" s="25" t="e">
        <f>VLOOKUP(A78,Roster!$A$2:$B$5000,2,FALSE)</f>
        <v>#N/A</v>
      </c>
      <c r="C78" s="23" t="s">
        <v>1040</v>
      </c>
      <c r="Q78" s="30"/>
      <c r="R78" s="25" t="e">
        <f>VLOOKUP(Q78,Roster!$A$2:$B$5000,2,FALSE)</f>
        <v>#N/A</v>
      </c>
      <c r="S78" s="38" t="s">
        <v>1041</v>
      </c>
    </row>
    <row r="79" spans="1:19">
      <c r="A79" s="23"/>
      <c r="B79" s="25" t="e">
        <f>VLOOKUP(A79,Roster!$A$2:$B$5000,2,FALSE)</f>
        <v>#N/A</v>
      </c>
      <c r="C79" s="23" t="s">
        <v>1040</v>
      </c>
      <c r="Q79" s="30"/>
      <c r="R79" s="25" t="e">
        <f>VLOOKUP(Q79,Roster!$A$2:$B$5000,2,FALSE)</f>
        <v>#N/A</v>
      </c>
      <c r="S79" s="38" t="s">
        <v>1041</v>
      </c>
    </row>
    <row r="80" spans="1:19">
      <c r="A80" s="23"/>
      <c r="B80" s="25" t="e">
        <f>VLOOKUP(A80,Roster!$A$2:$B$5000,2,FALSE)</f>
        <v>#N/A</v>
      </c>
      <c r="C80" s="23" t="s">
        <v>1040</v>
      </c>
      <c r="Q80" s="30"/>
      <c r="R80" s="25" t="e">
        <f>VLOOKUP(Q80,Roster!$A$2:$B$5000,2,FALSE)</f>
        <v>#N/A</v>
      </c>
      <c r="S80" s="38" t="s">
        <v>1041</v>
      </c>
    </row>
    <row r="81" spans="1:19">
      <c r="A81" s="23"/>
      <c r="B81" s="25" t="e">
        <f>VLOOKUP(A81,Roster!$A$2:$B$5000,2,FALSE)</f>
        <v>#N/A</v>
      </c>
      <c r="C81" s="23" t="s">
        <v>1040</v>
      </c>
      <c r="Q81" s="30"/>
      <c r="R81" s="25" t="e">
        <f>VLOOKUP(Q81,Roster!$A$2:$B$5000,2,FALSE)</f>
        <v>#N/A</v>
      </c>
      <c r="S81" s="38" t="s">
        <v>1041</v>
      </c>
    </row>
    <row r="82" spans="1:19">
      <c r="A82" s="23"/>
      <c r="B82" s="25" t="e">
        <f>VLOOKUP(A82,Roster!$A$2:$B$5000,2,FALSE)</f>
        <v>#N/A</v>
      </c>
      <c r="C82" s="23" t="s">
        <v>1040</v>
      </c>
      <c r="Q82" s="30"/>
      <c r="R82" s="25" t="e">
        <f>VLOOKUP(Q82,Roster!$A$2:$B$5000,2,FALSE)</f>
        <v>#N/A</v>
      </c>
      <c r="S82" s="38" t="s">
        <v>1041</v>
      </c>
    </row>
    <row r="83" spans="1:19">
      <c r="A83" s="23"/>
      <c r="B83" s="25" t="e">
        <f>VLOOKUP(A83,Roster!$A$2:$B$5000,2,FALSE)</f>
        <v>#N/A</v>
      </c>
      <c r="C83" s="23" t="s">
        <v>1040</v>
      </c>
      <c r="Q83" s="30"/>
      <c r="R83" s="25" t="e">
        <f>VLOOKUP(Q83,Roster!$A$2:$B$5000,2,FALSE)</f>
        <v>#N/A</v>
      </c>
      <c r="S83" s="38" t="s">
        <v>1041</v>
      </c>
    </row>
    <row r="84" spans="1:19">
      <c r="A84" s="23"/>
      <c r="B84" s="25" t="e">
        <f>VLOOKUP(A84,Roster!$A$2:$B$5000,2,FALSE)</f>
        <v>#N/A</v>
      </c>
      <c r="C84" s="23" t="s">
        <v>1040</v>
      </c>
      <c r="Q84" s="30"/>
      <c r="R84" s="25" t="e">
        <f>VLOOKUP(Q84,Roster!$A$2:$B$5000,2,FALSE)</f>
        <v>#N/A</v>
      </c>
      <c r="S84" s="38" t="s">
        <v>1041</v>
      </c>
    </row>
    <row r="85" spans="1:19">
      <c r="A85" s="23"/>
      <c r="B85" s="25" t="e">
        <f>VLOOKUP(A85,Roster!$A$2:$B$5000,2,FALSE)</f>
        <v>#N/A</v>
      </c>
      <c r="C85" s="23" t="s">
        <v>1040</v>
      </c>
      <c r="Q85" s="30"/>
      <c r="R85" s="25" t="e">
        <f>VLOOKUP(Q85,Roster!$A$2:$B$5000,2,FALSE)</f>
        <v>#N/A</v>
      </c>
      <c r="S85" s="38" t="s">
        <v>1041</v>
      </c>
    </row>
    <row r="86" spans="1:19">
      <c r="A86" s="23"/>
      <c r="B86" s="25" t="e">
        <f>VLOOKUP(A86,Roster!$A$2:$B$5000,2,FALSE)</f>
        <v>#N/A</v>
      </c>
      <c r="C86" s="23" t="s">
        <v>1040</v>
      </c>
      <c r="Q86" s="30"/>
      <c r="R86" s="25" t="e">
        <f>VLOOKUP(Q86,Roster!$A$2:$B$5000,2,FALSE)</f>
        <v>#N/A</v>
      </c>
      <c r="S86" s="38" t="s">
        <v>1041</v>
      </c>
    </row>
    <row r="87" spans="1:19">
      <c r="A87" s="23"/>
      <c r="B87" s="25" t="e">
        <f>VLOOKUP(A87,Roster!$A$2:$B$5000,2,FALSE)</f>
        <v>#N/A</v>
      </c>
      <c r="C87" s="23" t="s">
        <v>1040</v>
      </c>
      <c r="Q87" s="30"/>
      <c r="R87" s="25" t="e">
        <f>VLOOKUP(Q87,Roster!$A$2:$B$5000,2,FALSE)</f>
        <v>#N/A</v>
      </c>
      <c r="S87" s="38" t="s">
        <v>1041</v>
      </c>
    </row>
    <row r="88" spans="1:19">
      <c r="A88" s="23"/>
      <c r="B88" s="25" t="e">
        <f>VLOOKUP(A88,Roster!$A$2:$B$5000,2,FALSE)</f>
        <v>#N/A</v>
      </c>
      <c r="C88" s="23" t="s">
        <v>1040</v>
      </c>
      <c r="Q88" s="30"/>
      <c r="R88" s="25" t="e">
        <f>VLOOKUP(Q88,Roster!$A$2:$B$5000,2,FALSE)</f>
        <v>#N/A</v>
      </c>
      <c r="S88" s="38" t="s">
        <v>1041</v>
      </c>
    </row>
    <row r="89" spans="1:19">
      <c r="A89" s="23"/>
      <c r="B89" s="25" t="e">
        <f>VLOOKUP(A89,Roster!$A$2:$B$5000,2,FALSE)</f>
        <v>#N/A</v>
      </c>
      <c r="C89" s="23" t="s">
        <v>1040</v>
      </c>
      <c r="Q89" s="30"/>
      <c r="R89" s="25" t="e">
        <f>VLOOKUP(Q89,Roster!$A$2:$B$5000,2,FALSE)</f>
        <v>#N/A</v>
      </c>
      <c r="S89" s="38" t="s">
        <v>1041</v>
      </c>
    </row>
    <row r="90" spans="1:19">
      <c r="A90" s="23"/>
      <c r="B90" s="25" t="e">
        <f>VLOOKUP(A90,Roster!$A$2:$B$5000,2,FALSE)</f>
        <v>#N/A</v>
      </c>
      <c r="C90" s="23" t="s">
        <v>1040</v>
      </c>
      <c r="Q90" s="30"/>
      <c r="R90" s="25" t="e">
        <f>VLOOKUP(Q90,Roster!$A$2:$B$5000,2,FALSE)</f>
        <v>#N/A</v>
      </c>
      <c r="S90" s="38" t="s">
        <v>1041</v>
      </c>
    </row>
    <row r="91" spans="1:19">
      <c r="A91" s="23"/>
      <c r="B91" s="25" t="e">
        <f>VLOOKUP(A91,Roster!$A$2:$B$5000,2,FALSE)</f>
        <v>#N/A</v>
      </c>
      <c r="C91" s="23" t="s">
        <v>1040</v>
      </c>
      <c r="Q91" s="30"/>
      <c r="R91" s="25" t="e">
        <f>VLOOKUP(Q91,Roster!$A$2:$B$5000,2,FALSE)</f>
        <v>#N/A</v>
      </c>
      <c r="S91" s="38" t="s">
        <v>1041</v>
      </c>
    </row>
    <row r="92" spans="1:19">
      <c r="A92" s="23"/>
      <c r="B92" s="25" t="e">
        <f>VLOOKUP(A92,Roster!$A$2:$B$5000,2,FALSE)</f>
        <v>#N/A</v>
      </c>
      <c r="C92" s="23" t="s">
        <v>1040</v>
      </c>
      <c r="Q92" s="30"/>
      <c r="R92" s="25" t="e">
        <f>VLOOKUP(Q92,Roster!$A$2:$B$5000,2,FALSE)</f>
        <v>#N/A</v>
      </c>
      <c r="S92" s="38" t="s">
        <v>1041</v>
      </c>
    </row>
    <row r="93" spans="1:19">
      <c r="A93" s="23"/>
      <c r="B93" s="25" t="e">
        <f>VLOOKUP(A93,Roster!$A$2:$B$5000,2,FALSE)</f>
        <v>#N/A</v>
      </c>
      <c r="C93" s="23" t="s">
        <v>1040</v>
      </c>
      <c r="Q93" s="30"/>
      <c r="R93" s="25" t="e">
        <f>VLOOKUP(Q93,Roster!$A$2:$B$5000,2,FALSE)</f>
        <v>#N/A</v>
      </c>
      <c r="S93" s="38" t="s">
        <v>1041</v>
      </c>
    </row>
    <row r="94" spans="1:19">
      <c r="A94" s="23"/>
      <c r="B94" s="25" t="e">
        <f>VLOOKUP(A94,Roster!$A$2:$B$5000,2,FALSE)</f>
        <v>#N/A</v>
      </c>
      <c r="C94" s="23" t="s">
        <v>1040</v>
      </c>
      <c r="Q94" s="30"/>
      <c r="R94" s="25" t="e">
        <f>VLOOKUP(Q94,Roster!$A$2:$B$5000,2,FALSE)</f>
        <v>#N/A</v>
      </c>
      <c r="S94" s="38" t="s">
        <v>1041</v>
      </c>
    </row>
    <row r="95" spans="1:19">
      <c r="A95" s="23"/>
      <c r="B95" s="25" t="e">
        <f>VLOOKUP(A95,Roster!$A$2:$B$5000,2,FALSE)</f>
        <v>#N/A</v>
      </c>
      <c r="C95" s="23" t="s">
        <v>1040</v>
      </c>
      <c r="Q95" s="30"/>
      <c r="R95" s="25" t="e">
        <f>VLOOKUP(Q95,Roster!$A$2:$B$5000,2,FALSE)</f>
        <v>#N/A</v>
      </c>
      <c r="S95" s="38" t="s">
        <v>1041</v>
      </c>
    </row>
    <row r="96" spans="1:19">
      <c r="A96" s="23"/>
      <c r="B96" s="25" t="e">
        <f>VLOOKUP(A96,Roster!$A$2:$B$5000,2,FALSE)</f>
        <v>#N/A</v>
      </c>
      <c r="C96" s="23" t="s">
        <v>1040</v>
      </c>
      <c r="Q96" s="30"/>
      <c r="R96" s="25" t="e">
        <f>VLOOKUP(Q96,Roster!$A$2:$B$5000,2,FALSE)</f>
        <v>#N/A</v>
      </c>
      <c r="S96" s="38" t="s">
        <v>1041</v>
      </c>
    </row>
    <row r="97" spans="1:19">
      <c r="A97" s="23"/>
      <c r="B97" s="25" t="e">
        <f>VLOOKUP(A97,Roster!$A$2:$B$5000,2,FALSE)</f>
        <v>#N/A</v>
      </c>
      <c r="C97" s="23" t="s">
        <v>1040</v>
      </c>
      <c r="Q97" s="30"/>
      <c r="R97" s="25" t="e">
        <f>VLOOKUP(Q97,Roster!$A$2:$B$5000,2,FALSE)</f>
        <v>#N/A</v>
      </c>
      <c r="S97" s="38" t="s">
        <v>1041</v>
      </c>
    </row>
    <row r="98" spans="1:19">
      <c r="A98" s="23"/>
      <c r="B98" s="25" t="e">
        <f>VLOOKUP(A98,Roster!$A$2:$B$5000,2,FALSE)</f>
        <v>#N/A</v>
      </c>
      <c r="C98" s="23" t="s">
        <v>1040</v>
      </c>
      <c r="Q98" s="30"/>
      <c r="R98" s="25" t="e">
        <f>VLOOKUP(Q98,Roster!$A$2:$B$5000,2,FALSE)</f>
        <v>#N/A</v>
      </c>
      <c r="S98" s="38" t="s">
        <v>1041</v>
      </c>
    </row>
    <row r="99" spans="1:19">
      <c r="A99" s="23"/>
      <c r="B99" s="25" t="e">
        <f>VLOOKUP(A99,Roster!$A$2:$B$5000,2,FALSE)</f>
        <v>#N/A</v>
      </c>
      <c r="C99" s="23" t="s">
        <v>1040</v>
      </c>
      <c r="Q99" s="30"/>
      <c r="R99" s="25" t="e">
        <f>VLOOKUP(Q99,Roster!$A$2:$B$5000,2,FALSE)</f>
        <v>#N/A</v>
      </c>
      <c r="S99" s="38" t="s">
        <v>1041</v>
      </c>
    </row>
    <row r="100" spans="1:19" ht="16.5" thickBot="1">
      <c r="A100" s="31"/>
      <c r="B100" s="26" t="e">
        <f>VLOOKUP(A100,Roster!$A$2:$B$5000,2,FALSE)</f>
        <v>#N/A</v>
      </c>
      <c r="C100" s="24" t="s">
        <v>1040</v>
      </c>
      <c r="Q100" s="31"/>
      <c r="R100" s="26" t="e">
        <f>VLOOKUP(Q100,Roster!$A$2:$B$5000,2,FALSE)</f>
        <v>#N/A</v>
      </c>
      <c r="S100" s="38" t="s">
        <v>1041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Q27"/>
  <sheetViews>
    <sheetView workbookViewId="0">
      <selection activeCell="A6" sqref="A6"/>
    </sheetView>
  </sheetViews>
  <sheetFormatPr defaultRowHeight="15.75"/>
  <cols>
    <col min="1" max="1" width="19.140625" style="1" customWidth="1"/>
    <col min="2" max="2" width="20" style="1" customWidth="1"/>
    <col min="3" max="3" width="4.42578125" customWidth="1"/>
    <col min="5" max="5" width="10.42578125" customWidth="1"/>
    <col min="6" max="6" width="4.85546875" customWidth="1"/>
    <col min="8" max="8" width="15.28515625" customWidth="1"/>
    <col min="9" max="9" width="4.85546875" customWidth="1"/>
    <col min="11" max="11" width="12.85546875" customWidth="1"/>
    <col min="12" max="12" width="4.42578125" customWidth="1"/>
    <col min="14" max="14" width="14" customWidth="1"/>
    <col min="15" max="15" width="5.5703125" customWidth="1"/>
    <col min="17" max="17" width="11.140625" customWidth="1"/>
  </cols>
  <sheetData>
    <row r="1" spans="1:17">
      <c r="A1" s="6" t="s">
        <v>0</v>
      </c>
      <c r="B1" s="7" t="s">
        <v>1</v>
      </c>
      <c r="D1" s="6" t="s">
        <v>0</v>
      </c>
      <c r="E1" s="7" t="s">
        <v>1</v>
      </c>
      <c r="G1" s="6" t="s">
        <v>0</v>
      </c>
      <c r="H1" s="7" t="s">
        <v>1</v>
      </c>
      <c r="J1" s="6" t="s">
        <v>0</v>
      </c>
      <c r="K1" s="7" t="s">
        <v>1</v>
      </c>
      <c r="M1" s="6" t="s">
        <v>0</v>
      </c>
      <c r="N1" s="7" t="s">
        <v>1</v>
      </c>
      <c r="P1" s="6" t="s">
        <v>0</v>
      </c>
      <c r="Q1" s="7" t="s">
        <v>1</v>
      </c>
    </row>
    <row r="2" spans="1:17">
      <c r="A2" s="8"/>
      <c r="B2" s="9" t="s">
        <v>2</v>
      </c>
      <c r="D2" s="12"/>
      <c r="E2" s="9" t="s">
        <v>5</v>
      </c>
      <c r="G2" s="12"/>
      <c r="H2" s="9" t="s">
        <v>4</v>
      </c>
      <c r="J2" s="12"/>
      <c r="K2" s="9" t="s">
        <v>11</v>
      </c>
      <c r="M2" s="12"/>
      <c r="N2" s="9" t="s">
        <v>7</v>
      </c>
      <c r="P2" s="12"/>
      <c r="Q2" s="9" t="s">
        <v>9</v>
      </c>
    </row>
    <row r="3" spans="1:17">
      <c r="A3" s="8"/>
      <c r="B3" s="9" t="s">
        <v>2</v>
      </c>
      <c r="D3" s="12"/>
      <c r="E3" s="9" t="s">
        <v>5</v>
      </c>
      <c r="G3" s="12"/>
      <c r="H3" s="9" t="s">
        <v>4</v>
      </c>
      <c r="J3" s="12"/>
      <c r="K3" s="9" t="s">
        <v>11</v>
      </c>
      <c r="M3" s="12"/>
      <c r="N3" s="9" t="s">
        <v>7</v>
      </c>
      <c r="P3" s="12"/>
      <c r="Q3" s="9" t="s">
        <v>9</v>
      </c>
    </row>
    <row r="4" spans="1:17">
      <c r="A4" s="8"/>
      <c r="B4" s="9" t="s">
        <v>2</v>
      </c>
      <c r="D4" s="12"/>
      <c r="E4" s="9" t="s">
        <v>5</v>
      </c>
      <c r="G4" s="12"/>
      <c r="H4" s="9" t="s">
        <v>4</v>
      </c>
      <c r="J4" s="12"/>
      <c r="K4" s="9" t="s">
        <v>11</v>
      </c>
      <c r="M4" s="12"/>
      <c r="N4" s="9" t="s">
        <v>7</v>
      </c>
      <c r="P4" s="12"/>
      <c r="Q4" s="9" t="s">
        <v>9</v>
      </c>
    </row>
    <row r="5" spans="1:17">
      <c r="A5" s="8"/>
      <c r="B5" s="9" t="s">
        <v>2</v>
      </c>
      <c r="D5" s="12"/>
      <c r="E5" s="9" t="s">
        <v>5</v>
      </c>
      <c r="G5" s="12"/>
      <c r="H5" s="9" t="s">
        <v>4</v>
      </c>
      <c r="J5" s="12"/>
      <c r="K5" s="9" t="s">
        <v>11</v>
      </c>
      <c r="M5" s="12"/>
      <c r="N5" s="9" t="s">
        <v>7</v>
      </c>
      <c r="P5" s="12"/>
      <c r="Q5" s="9" t="s">
        <v>9</v>
      </c>
    </row>
    <row r="6" spans="1:17">
      <c r="A6" s="8"/>
      <c r="B6" s="9" t="s">
        <v>2</v>
      </c>
      <c r="D6" s="12"/>
      <c r="E6" s="9" t="s">
        <v>5</v>
      </c>
      <c r="G6" s="12"/>
      <c r="H6" s="9" t="s">
        <v>4</v>
      </c>
      <c r="J6" s="12"/>
      <c r="K6" s="9" t="s">
        <v>11</v>
      </c>
      <c r="M6" s="12"/>
      <c r="N6" s="9" t="s">
        <v>7</v>
      </c>
      <c r="P6" s="12"/>
      <c r="Q6" s="9" t="s">
        <v>9</v>
      </c>
    </row>
    <row r="7" spans="1:17" ht="16.5" thickBot="1">
      <c r="A7" s="8"/>
      <c r="B7" s="9" t="s">
        <v>2</v>
      </c>
      <c r="D7" s="12"/>
      <c r="E7" s="9" t="s">
        <v>5</v>
      </c>
      <c r="G7" s="12"/>
      <c r="H7" s="9" t="s">
        <v>4</v>
      </c>
      <c r="J7" s="12"/>
      <c r="K7" s="9" t="s">
        <v>11</v>
      </c>
      <c r="M7" s="12"/>
      <c r="N7" s="9" t="s">
        <v>7</v>
      </c>
      <c r="P7" s="13"/>
      <c r="Q7" s="11" t="s">
        <v>9</v>
      </c>
    </row>
    <row r="8" spans="1:17" ht="16.5" thickBot="1">
      <c r="A8" s="8"/>
      <c r="B8" s="9" t="s">
        <v>2</v>
      </c>
      <c r="D8" s="12"/>
      <c r="E8" s="9" t="s">
        <v>5</v>
      </c>
      <c r="G8" s="12"/>
      <c r="H8" s="9" t="s">
        <v>4</v>
      </c>
      <c r="J8" s="12"/>
      <c r="K8" s="9" t="s">
        <v>11</v>
      </c>
      <c r="M8" s="12"/>
      <c r="N8" s="9" t="s">
        <v>7</v>
      </c>
    </row>
    <row r="9" spans="1:17" ht="16.5" thickBot="1">
      <c r="A9" s="8"/>
      <c r="B9" s="9" t="s">
        <v>2</v>
      </c>
      <c r="D9" s="12"/>
      <c r="E9" s="9" t="s">
        <v>5</v>
      </c>
      <c r="G9" s="12"/>
      <c r="H9" s="9" t="s">
        <v>4</v>
      </c>
      <c r="J9" s="13"/>
      <c r="K9" s="11" t="s">
        <v>11</v>
      </c>
      <c r="M9" s="13"/>
      <c r="N9" s="11" t="s">
        <v>7</v>
      </c>
      <c r="P9" s="6" t="s">
        <v>0</v>
      </c>
      <c r="Q9" s="7" t="s">
        <v>1</v>
      </c>
    </row>
    <row r="10" spans="1:17" ht="16.5" thickBot="1">
      <c r="A10" s="8"/>
      <c r="B10" s="9" t="s">
        <v>2</v>
      </c>
      <c r="D10" s="12"/>
      <c r="E10" s="9" t="s">
        <v>5</v>
      </c>
      <c r="G10" s="12"/>
      <c r="H10" s="9" t="s">
        <v>4</v>
      </c>
      <c r="P10" s="12"/>
      <c r="Q10" s="9" t="s">
        <v>21</v>
      </c>
    </row>
    <row r="11" spans="1:17">
      <c r="A11" s="8"/>
      <c r="B11" s="9" t="s">
        <v>2</v>
      </c>
      <c r="D11" s="12"/>
      <c r="E11" s="9" t="s">
        <v>5</v>
      </c>
      <c r="G11" s="12"/>
      <c r="H11" s="9" t="s">
        <v>4</v>
      </c>
      <c r="J11" s="6" t="s">
        <v>0</v>
      </c>
      <c r="K11" s="7" t="s">
        <v>1</v>
      </c>
      <c r="M11" s="6" t="s">
        <v>0</v>
      </c>
      <c r="N11" s="7" t="s">
        <v>1</v>
      </c>
      <c r="P11" s="12"/>
      <c r="Q11" s="9" t="s">
        <v>21</v>
      </c>
    </row>
    <row r="12" spans="1:17">
      <c r="A12" s="8"/>
      <c r="B12" s="9" t="s">
        <v>2</v>
      </c>
      <c r="D12" s="12"/>
      <c r="E12" s="9" t="s">
        <v>5</v>
      </c>
      <c r="G12" s="12"/>
      <c r="H12" s="9" t="s">
        <v>4</v>
      </c>
      <c r="J12" s="12"/>
      <c r="K12" s="9" t="s">
        <v>6</v>
      </c>
      <c r="M12" s="12"/>
      <c r="N12" s="9" t="s">
        <v>8</v>
      </c>
      <c r="P12" s="12"/>
      <c r="Q12" s="9" t="s">
        <v>21</v>
      </c>
    </row>
    <row r="13" spans="1:17" ht="16.5" thickBot="1">
      <c r="A13" s="10"/>
      <c r="B13" s="11" t="s">
        <v>2</v>
      </c>
      <c r="D13" s="12"/>
      <c r="E13" s="9" t="s">
        <v>5</v>
      </c>
      <c r="G13" s="13"/>
      <c r="H13" s="11" t="s">
        <v>4</v>
      </c>
      <c r="J13" s="12"/>
      <c r="K13" s="9" t="s">
        <v>6</v>
      </c>
      <c r="M13" s="12"/>
      <c r="N13" s="9" t="s">
        <v>8</v>
      </c>
      <c r="P13" s="12"/>
      <c r="Q13" s="9" t="s">
        <v>21</v>
      </c>
    </row>
    <row r="14" spans="1:17" ht="16.5" thickBot="1">
      <c r="D14" s="12"/>
      <c r="E14" s="9" t="s">
        <v>5</v>
      </c>
      <c r="J14" s="12"/>
      <c r="K14" s="9" t="s">
        <v>6</v>
      </c>
      <c r="M14" s="12"/>
      <c r="N14" s="9" t="s">
        <v>8</v>
      </c>
      <c r="P14" s="13"/>
      <c r="Q14" s="11" t="s">
        <v>21</v>
      </c>
    </row>
    <row r="15" spans="1:17" ht="16.5" thickBot="1">
      <c r="A15" s="6" t="s">
        <v>0</v>
      </c>
      <c r="B15" s="7" t="s">
        <v>1</v>
      </c>
      <c r="D15" s="12"/>
      <c r="E15" s="9" t="s">
        <v>5</v>
      </c>
      <c r="G15" s="6" t="s">
        <v>0</v>
      </c>
      <c r="H15" s="7" t="s">
        <v>1</v>
      </c>
      <c r="J15" s="12"/>
      <c r="K15" s="9" t="s">
        <v>6</v>
      </c>
      <c r="M15" s="13"/>
      <c r="N15" s="11" t="s">
        <v>8</v>
      </c>
    </row>
    <row r="16" spans="1:17" ht="16.5" thickBot="1">
      <c r="A16" s="12"/>
      <c r="B16" s="9" t="s">
        <v>3</v>
      </c>
      <c r="D16" s="12"/>
      <c r="E16" s="9" t="s">
        <v>5</v>
      </c>
      <c r="G16" s="12"/>
      <c r="H16" s="9" t="s">
        <v>22</v>
      </c>
      <c r="J16" s="12"/>
      <c r="K16" s="9" t="s">
        <v>6</v>
      </c>
    </row>
    <row r="17" spans="1:14">
      <c r="A17" s="12"/>
      <c r="B17" s="9" t="s">
        <v>3</v>
      </c>
      <c r="D17" s="12"/>
      <c r="E17" s="9" t="s">
        <v>5</v>
      </c>
      <c r="G17" s="12"/>
      <c r="H17" s="9" t="s">
        <v>22</v>
      </c>
      <c r="J17" s="12"/>
      <c r="K17" s="9" t="s">
        <v>6</v>
      </c>
      <c r="M17" s="6" t="s">
        <v>0</v>
      </c>
      <c r="N17" s="7" t="s">
        <v>1</v>
      </c>
    </row>
    <row r="18" spans="1:14">
      <c r="A18" s="12"/>
      <c r="B18" s="9" t="s">
        <v>3</v>
      </c>
      <c r="D18" s="12"/>
      <c r="E18" s="9" t="s">
        <v>5</v>
      </c>
      <c r="G18" s="12"/>
      <c r="H18" s="9" t="s">
        <v>22</v>
      </c>
      <c r="J18" s="12"/>
      <c r="K18" s="9" t="s">
        <v>6</v>
      </c>
      <c r="M18" s="12"/>
      <c r="N18" s="9" t="s">
        <v>10</v>
      </c>
    </row>
    <row r="19" spans="1:14" ht="16.5" thickBot="1">
      <c r="A19" s="12"/>
      <c r="B19" s="9" t="s">
        <v>3</v>
      </c>
      <c r="D19" s="12"/>
      <c r="E19" s="9" t="s">
        <v>5</v>
      </c>
      <c r="G19" s="12"/>
      <c r="H19" s="9" t="s">
        <v>22</v>
      </c>
      <c r="J19" s="13"/>
      <c r="K19" s="11" t="s">
        <v>6</v>
      </c>
      <c r="M19" s="13"/>
      <c r="N19" s="11" t="s">
        <v>10</v>
      </c>
    </row>
    <row r="20" spans="1:14">
      <c r="A20" s="12"/>
      <c r="B20" s="9" t="s">
        <v>3</v>
      </c>
      <c r="D20" s="12"/>
      <c r="E20" s="9" t="s">
        <v>5</v>
      </c>
      <c r="G20" s="12"/>
      <c r="H20" s="9" t="s">
        <v>22</v>
      </c>
    </row>
    <row r="21" spans="1:14">
      <c r="A21" s="12"/>
      <c r="B21" s="9" t="s">
        <v>3</v>
      </c>
      <c r="D21" s="12"/>
      <c r="E21" s="9" t="s">
        <v>5</v>
      </c>
      <c r="G21" s="12"/>
      <c r="H21" s="9" t="s">
        <v>22</v>
      </c>
    </row>
    <row r="22" spans="1:14">
      <c r="A22" s="12"/>
      <c r="B22" s="9" t="s">
        <v>3</v>
      </c>
      <c r="D22" s="12"/>
      <c r="E22" s="9" t="s">
        <v>5</v>
      </c>
      <c r="G22" s="12"/>
      <c r="H22" s="9" t="s">
        <v>22</v>
      </c>
    </row>
    <row r="23" spans="1:14">
      <c r="A23" s="12"/>
      <c r="B23" s="9" t="s">
        <v>3</v>
      </c>
      <c r="D23" s="12"/>
      <c r="E23" s="9" t="s">
        <v>5</v>
      </c>
      <c r="G23" s="12"/>
      <c r="H23" s="9" t="s">
        <v>22</v>
      </c>
    </row>
    <row r="24" spans="1:14">
      <c r="A24" s="12"/>
      <c r="B24" s="9" t="s">
        <v>3</v>
      </c>
      <c r="D24" s="12"/>
      <c r="E24" s="9" t="s">
        <v>5</v>
      </c>
      <c r="G24" s="12"/>
      <c r="H24" s="9" t="s">
        <v>22</v>
      </c>
    </row>
    <row r="25" spans="1:14" ht="16.5" thickBot="1">
      <c r="A25" s="12"/>
      <c r="B25" s="9" t="s">
        <v>3</v>
      </c>
      <c r="D25" s="13"/>
      <c r="E25" s="11" t="s">
        <v>5</v>
      </c>
      <c r="G25" s="12"/>
      <c r="H25" s="9" t="s">
        <v>22</v>
      </c>
    </row>
    <row r="26" spans="1:14">
      <c r="A26" s="12"/>
      <c r="B26" s="9" t="s">
        <v>3</v>
      </c>
      <c r="G26" s="12"/>
      <c r="H26" s="9" t="s">
        <v>22</v>
      </c>
    </row>
    <row r="27" spans="1:14" ht="16.5" thickBot="1">
      <c r="A27" s="13"/>
      <c r="B27" s="11" t="s">
        <v>3</v>
      </c>
      <c r="G27" s="13"/>
      <c r="H27" s="11" t="s">
        <v>22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1"/>
  <dimension ref="A1:O64"/>
  <sheetViews>
    <sheetView zoomScale="55" zoomScaleNormal="55" workbookViewId="0">
      <selection activeCell="F16" sqref="F16"/>
    </sheetView>
  </sheetViews>
  <sheetFormatPr defaultRowHeight="15" zeroHeight="1"/>
  <cols>
    <col min="1" max="2" width="22.140625" customWidth="1"/>
    <col min="3" max="3" width="26" bestFit="1" customWidth="1"/>
    <col min="4" max="4" width="5.5703125" customWidth="1"/>
    <col min="5" max="7" width="22.140625" customWidth="1"/>
    <col min="8" max="8" width="4.42578125" customWidth="1"/>
    <col min="9" max="11" width="22.140625" customWidth="1"/>
    <col min="13" max="13" width="22.140625" customWidth="1"/>
    <col min="14" max="14" width="26.5703125" customWidth="1"/>
    <col min="15" max="15" width="22.140625" customWidth="1"/>
    <col min="16" max="16" width="9.7109375" customWidth="1"/>
    <col min="17" max="17" width="9.140625" customWidth="1"/>
    <col min="19" max="19" width="7.140625" customWidth="1"/>
  </cols>
  <sheetData>
    <row r="1" spans="1:15" ht="16.5" thickBot="1">
      <c r="A1" s="87" t="s">
        <v>1072</v>
      </c>
      <c r="B1" s="88"/>
      <c r="C1" s="89"/>
      <c r="D1" s="5"/>
      <c r="E1" s="90" t="s">
        <v>1073</v>
      </c>
      <c r="F1" s="91"/>
      <c r="G1" s="91"/>
      <c r="H1" s="91"/>
      <c r="I1" s="91"/>
      <c r="J1" s="91"/>
      <c r="K1" s="92"/>
      <c r="M1" s="84" t="s">
        <v>1086</v>
      </c>
      <c r="N1" s="85"/>
      <c r="O1" s="86"/>
    </row>
    <row r="2" spans="1:15" ht="16.5" thickBot="1">
      <c r="A2" s="20" t="s">
        <v>23</v>
      </c>
      <c r="B2" s="20" t="s">
        <v>0</v>
      </c>
      <c r="C2" s="37" t="s">
        <v>1</v>
      </c>
      <c r="D2" s="5"/>
      <c r="E2" s="84" t="s">
        <v>1074</v>
      </c>
      <c r="F2" s="85"/>
      <c r="G2" s="86"/>
      <c r="I2" s="84" t="s">
        <v>1080</v>
      </c>
      <c r="J2" s="85"/>
      <c r="K2" s="86"/>
      <c r="M2" s="20" t="s">
        <v>23</v>
      </c>
      <c r="N2" s="20" t="s">
        <v>0</v>
      </c>
      <c r="O2" s="28" t="s">
        <v>1</v>
      </c>
    </row>
    <row r="3" spans="1:15" ht="16.5" thickBot="1">
      <c r="A3" s="43"/>
      <c r="B3" s="22" t="e">
        <f>VLOOKUP(A3,Roster!$A$2:$B$5000,2,FALSE)</f>
        <v>#N/A</v>
      </c>
      <c r="C3" s="39" t="s">
        <v>1068</v>
      </c>
      <c r="D3" s="5"/>
      <c r="E3" s="17" t="s">
        <v>23</v>
      </c>
      <c r="F3" s="17" t="s">
        <v>0</v>
      </c>
      <c r="G3" s="19" t="s">
        <v>1</v>
      </c>
      <c r="I3" s="20" t="s">
        <v>23</v>
      </c>
      <c r="J3" s="28" t="s">
        <v>0</v>
      </c>
      <c r="K3" s="20" t="s">
        <v>1</v>
      </c>
      <c r="M3" s="59"/>
      <c r="N3" s="22" t="e">
        <f>VLOOKUP(M3,Roster!$A$2:$B$5000,2,FALSE)</f>
        <v>#N/A</v>
      </c>
      <c r="O3" s="38" t="s">
        <v>1334</v>
      </c>
    </row>
    <row r="4" spans="1:15" ht="15.75">
      <c r="A4" s="23"/>
      <c r="B4" s="25" t="e">
        <f>VLOOKUP(A4,Roster!$A$2:$B$5000,2,FALSE)</f>
        <v>#N/A</v>
      </c>
      <c r="C4" s="39" t="s">
        <v>1068</v>
      </c>
      <c r="D4" s="5"/>
      <c r="E4" s="33"/>
      <c r="F4" s="22" t="e">
        <f>VLOOKUP(E4,Roster!$A$2:$B$5000,2,FALSE)</f>
        <v>#N/A</v>
      </c>
      <c r="G4" s="41" t="s">
        <v>1075</v>
      </c>
      <c r="I4" s="33"/>
      <c r="J4" s="22" t="e">
        <f>VLOOKUP(I4,Roster!$A$2:$B$5000,2,FALSE)</f>
        <v>#N/A</v>
      </c>
      <c r="K4" s="33" t="s">
        <v>1081</v>
      </c>
      <c r="M4" s="59"/>
      <c r="N4" s="25" t="e">
        <f>VLOOKUP(M4,Roster!$A$2:$B$5000,2,FALSE)</f>
        <v>#N/A</v>
      </c>
      <c r="O4" s="38" t="s">
        <v>1334</v>
      </c>
    </row>
    <row r="5" spans="1:15" ht="15.75">
      <c r="A5" s="23"/>
      <c r="B5" s="25" t="e">
        <f>VLOOKUP(A5,Roster!$A$2:$B$5000,2,FALSE)</f>
        <v>#N/A</v>
      </c>
      <c r="C5" s="39" t="s">
        <v>1068</v>
      </c>
      <c r="D5" s="5"/>
      <c r="E5" s="23"/>
      <c r="F5" s="25" t="e">
        <f>VLOOKUP(E5,Roster!$A$2:$B$5000,2,FALSE)</f>
        <v>#N/A</v>
      </c>
      <c r="G5" s="39" t="s">
        <v>1075</v>
      </c>
      <c r="I5" s="23"/>
      <c r="J5" s="25" t="e">
        <f>VLOOKUP(I5,Roster!$A$2:$B$5000,2,FALSE)</f>
        <v>#N/A</v>
      </c>
      <c r="K5" s="23" t="s">
        <v>1081</v>
      </c>
      <c r="M5" s="59"/>
      <c r="N5" s="25" t="e">
        <f>VLOOKUP(M5,Roster!$A$2:$B$5000,2,FALSE)</f>
        <v>#N/A</v>
      </c>
      <c r="O5" s="38" t="s">
        <v>1334</v>
      </c>
    </row>
    <row r="6" spans="1:15" ht="15.75">
      <c r="A6" s="23"/>
      <c r="B6" s="25" t="e">
        <f>VLOOKUP(A6,Roster!$A$2:$B$5000,2,FALSE)</f>
        <v>#N/A</v>
      </c>
      <c r="C6" s="39" t="s">
        <v>1068</v>
      </c>
      <c r="D6" s="5"/>
      <c r="E6" s="23"/>
      <c r="F6" s="25" t="e">
        <f>VLOOKUP(E6,Roster!$A$2:$B$5000,2,FALSE)</f>
        <v>#N/A</v>
      </c>
      <c r="G6" s="39" t="s">
        <v>1075</v>
      </c>
      <c r="I6" s="23"/>
      <c r="J6" s="25" t="e">
        <f>VLOOKUP(I6,Roster!$A$2:$B$5000,2,FALSE)</f>
        <v>#N/A</v>
      </c>
      <c r="K6" s="23" t="s">
        <v>1081</v>
      </c>
      <c r="M6" s="59"/>
      <c r="N6" s="25" t="e">
        <f>VLOOKUP(M6,Roster!$A$2:$B$5000,2,FALSE)</f>
        <v>#N/A</v>
      </c>
      <c r="O6" s="38" t="s">
        <v>1334</v>
      </c>
    </row>
    <row r="7" spans="1:15" ht="15.75">
      <c r="A7" s="23"/>
      <c r="B7" s="25" t="e">
        <f>VLOOKUP(A7,Roster!$A$2:$B$5000,2,FALSE)</f>
        <v>#N/A</v>
      </c>
      <c r="C7" s="39" t="s">
        <v>1068</v>
      </c>
      <c r="D7" s="5"/>
      <c r="E7" s="23"/>
      <c r="F7" s="25" t="e">
        <f>VLOOKUP(E7,Roster!$A$2:$B$5000,2,FALSE)</f>
        <v>#N/A</v>
      </c>
      <c r="G7" s="39" t="s">
        <v>1075</v>
      </c>
      <c r="I7" s="23"/>
      <c r="J7" s="25" t="e">
        <f>VLOOKUP(I7,Roster!$A$2:$B$5000,2,FALSE)</f>
        <v>#N/A</v>
      </c>
      <c r="K7" s="23" t="s">
        <v>1081</v>
      </c>
      <c r="M7" s="59"/>
      <c r="N7" s="25" t="e">
        <f>VLOOKUP(M7,Roster!$A$2:$B$5000,2,FALSE)</f>
        <v>#N/A</v>
      </c>
      <c r="O7" s="38" t="s">
        <v>1334</v>
      </c>
    </row>
    <row r="8" spans="1:15" ht="16.5" thickBot="1">
      <c r="A8" s="23"/>
      <c r="B8" s="25" t="e">
        <f>VLOOKUP(A8,Roster!$A$2:$B$5000,2,FALSE)</f>
        <v>#N/A</v>
      </c>
      <c r="C8" s="39" t="s">
        <v>1068</v>
      </c>
      <c r="D8" s="5"/>
      <c r="E8" s="24"/>
      <c r="F8" s="26" t="e">
        <f>VLOOKUP(E8,Roster!$A$2:$B$5000,2,FALSE)</f>
        <v>#N/A</v>
      </c>
      <c r="G8" s="40" t="s">
        <v>1075</v>
      </c>
      <c r="I8" s="24"/>
      <c r="J8" s="26" t="e">
        <f>VLOOKUP(I8,Roster!$A$2:$B$5000,2,FALSE)</f>
        <v>#N/A</v>
      </c>
      <c r="K8" s="24" t="s">
        <v>1081</v>
      </c>
      <c r="M8" s="59"/>
      <c r="N8" s="25" t="e">
        <f>VLOOKUP(M8,Roster!$A$2:$B$5000,2,FALSE)</f>
        <v>#N/A</v>
      </c>
      <c r="O8" s="38" t="s">
        <v>1334</v>
      </c>
    </row>
    <row r="9" spans="1:15" ht="15.75">
      <c r="A9" s="23"/>
      <c r="B9" s="25" t="e">
        <f>VLOOKUP(A9,Roster!$A$2:$B$5000,2,FALSE)</f>
        <v>#N/A</v>
      </c>
      <c r="C9" s="39" t="s">
        <v>1068</v>
      </c>
      <c r="D9" s="5"/>
      <c r="E9" s="33"/>
      <c r="F9" s="22" t="e">
        <f>VLOOKUP(E9,Roster!$A$2:$B$5000,2,FALSE)</f>
        <v>#N/A</v>
      </c>
      <c r="G9" s="41" t="s">
        <v>1076</v>
      </c>
      <c r="I9" s="23"/>
      <c r="J9" s="22" t="e">
        <f>VLOOKUP(I9,Roster!$A$2:$B$5000,2,FALSE)</f>
        <v>#N/A</v>
      </c>
      <c r="K9" s="33" t="s">
        <v>1082</v>
      </c>
      <c r="M9" s="59"/>
      <c r="N9" s="25" t="e">
        <f>VLOOKUP(M9,Roster!$A$2:$B$5000,2,FALSE)</f>
        <v>#N/A</v>
      </c>
      <c r="O9" s="38" t="s">
        <v>1334</v>
      </c>
    </row>
    <row r="10" spans="1:15" ht="15.75">
      <c r="A10" s="23"/>
      <c r="B10" s="25" t="e">
        <f>VLOOKUP(A10,Roster!$A$2:$B$5000,2,FALSE)</f>
        <v>#N/A</v>
      </c>
      <c r="C10" s="39" t="s">
        <v>1068</v>
      </c>
      <c r="D10" s="5"/>
      <c r="E10" s="23"/>
      <c r="F10" s="25" t="e">
        <f>VLOOKUP(E10,Roster!$A$2:$B$5000,2,FALSE)</f>
        <v>#N/A</v>
      </c>
      <c r="G10" s="39" t="s">
        <v>1076</v>
      </c>
      <c r="I10" s="23"/>
      <c r="J10" s="25" t="e">
        <f>VLOOKUP(I10,Roster!$A$2:$B$5000,2,FALSE)</f>
        <v>#N/A</v>
      </c>
      <c r="K10" s="23" t="s">
        <v>1082</v>
      </c>
      <c r="M10" s="59"/>
      <c r="N10" s="25" t="e">
        <f>VLOOKUP(M10,Roster!$A$2:$B$5000,2,FALSE)</f>
        <v>#N/A</v>
      </c>
      <c r="O10" s="38" t="s">
        <v>1334</v>
      </c>
    </row>
    <row r="11" spans="1:15" ht="15.75">
      <c r="A11" s="23"/>
      <c r="B11" s="25" t="e">
        <f>VLOOKUP(A11,Roster!$A$2:$B$5000,2,FALSE)</f>
        <v>#N/A</v>
      </c>
      <c r="C11" s="39" t="s">
        <v>1068</v>
      </c>
      <c r="D11" s="5"/>
      <c r="E11" s="23"/>
      <c r="F11" s="25" t="e">
        <f>VLOOKUP(E11,Roster!$A$2:$B$5000,2,FALSE)</f>
        <v>#N/A</v>
      </c>
      <c r="G11" s="39" t="s">
        <v>1076</v>
      </c>
      <c r="I11" s="23"/>
      <c r="J11" s="25" t="e">
        <f>VLOOKUP(I11,Roster!$A$2:$B$5000,2,FALSE)</f>
        <v>#N/A</v>
      </c>
      <c r="K11" s="23" t="s">
        <v>1082</v>
      </c>
      <c r="M11" s="59"/>
      <c r="N11" s="25" t="e">
        <f>VLOOKUP(M11,Roster!$A$2:$B$5000,2,FALSE)</f>
        <v>#N/A</v>
      </c>
      <c r="O11" s="38" t="s">
        <v>1334</v>
      </c>
    </row>
    <row r="12" spans="1:15" ht="16.5" thickBot="1">
      <c r="A12" s="24"/>
      <c r="B12" s="26" t="e">
        <f>VLOOKUP(A12,Roster!$A$2:$B$5000,2,FALSE)</f>
        <v>#N/A</v>
      </c>
      <c r="C12" s="40" t="s">
        <v>1068</v>
      </c>
      <c r="D12" s="5"/>
      <c r="E12" s="23"/>
      <c r="F12" s="25" t="e">
        <f>VLOOKUP(E12,Roster!$A$2:$B$5000,2,FALSE)</f>
        <v>#N/A</v>
      </c>
      <c r="G12" s="39" t="s">
        <v>1076</v>
      </c>
      <c r="I12" s="23"/>
      <c r="J12" s="25" t="e">
        <f>VLOOKUP(I12,Roster!$A$2:$B$5000,2,FALSE)</f>
        <v>#N/A</v>
      </c>
      <c r="K12" s="23" t="s">
        <v>1082</v>
      </c>
      <c r="M12" s="59"/>
      <c r="N12" s="25" t="e">
        <f>VLOOKUP(M12,Roster!$A$2:$B$5000,2,FALSE)</f>
        <v>#N/A</v>
      </c>
      <c r="O12" s="38" t="s">
        <v>1334</v>
      </c>
    </row>
    <row r="13" spans="1:15" ht="16.5" thickBot="1">
      <c r="A13" s="43"/>
      <c r="B13" s="32" t="e">
        <f>VLOOKUP(A13,Roster!$A$2:$B$5000,2,FALSE)</f>
        <v>#N/A</v>
      </c>
      <c r="C13" s="38" t="s">
        <v>1069</v>
      </c>
      <c r="D13" s="5"/>
      <c r="E13" s="24"/>
      <c r="F13" s="26" t="e">
        <f>VLOOKUP(E13,Roster!$A$2:$B$5000,2,FALSE)</f>
        <v>#N/A</v>
      </c>
      <c r="G13" s="40" t="s">
        <v>1076</v>
      </c>
      <c r="I13" s="24"/>
      <c r="J13" s="26" t="e">
        <f>VLOOKUP(I13,Roster!$A$2:$B$5000,2,FALSE)</f>
        <v>#N/A</v>
      </c>
      <c r="K13" s="24" t="s">
        <v>1082</v>
      </c>
      <c r="M13" s="59"/>
      <c r="N13" s="25" t="e">
        <f>VLOOKUP(M13,Roster!$A$2:$B$5000,2,FALSE)</f>
        <v>#N/A</v>
      </c>
      <c r="O13" s="38" t="s">
        <v>1334</v>
      </c>
    </row>
    <row r="14" spans="1:15" ht="15.75">
      <c r="A14" s="23"/>
      <c r="B14" s="25" t="e">
        <f>VLOOKUP(A14,Roster!$A$2:$B$5000,2,FALSE)</f>
        <v>#N/A</v>
      </c>
      <c r="C14" s="39" t="s">
        <v>1069</v>
      </c>
      <c r="D14" s="5"/>
      <c r="E14" s="23"/>
      <c r="F14" s="22" t="e">
        <f>VLOOKUP(E14,Roster!$A$2:$B$5000,2,FALSE)</f>
        <v>#N/A</v>
      </c>
      <c r="G14" s="41" t="s">
        <v>1077</v>
      </c>
      <c r="I14" s="33"/>
      <c r="J14" s="22" t="e">
        <f>VLOOKUP(I14,Roster!$A$2:$B$5000,2,FALSE)</f>
        <v>#N/A</v>
      </c>
      <c r="K14" s="33" t="s">
        <v>1083</v>
      </c>
      <c r="M14" s="59"/>
      <c r="N14" s="25" t="e">
        <f>VLOOKUP(M14,Roster!$A$2:$B$5000,2,FALSE)</f>
        <v>#N/A</v>
      </c>
      <c r="O14" s="38" t="s">
        <v>1334</v>
      </c>
    </row>
    <row r="15" spans="1:15" ht="15.75">
      <c r="A15" s="23"/>
      <c r="B15" s="25" t="e">
        <f>VLOOKUP(A15,Roster!$A$2:$B$5000,2,FALSE)</f>
        <v>#N/A</v>
      </c>
      <c r="C15" s="39" t="s">
        <v>1069</v>
      </c>
      <c r="D15" s="5"/>
      <c r="E15" s="23"/>
      <c r="F15" s="25" t="e">
        <f>VLOOKUP(E15,Roster!$A$2:$B$5000,2,FALSE)</f>
        <v>#N/A</v>
      </c>
      <c r="G15" s="39" t="s">
        <v>1077</v>
      </c>
      <c r="I15" s="23"/>
      <c r="J15" s="25" t="e">
        <f>VLOOKUP(I15,Roster!$A$2:$B$5000,2,FALSE)</f>
        <v>#N/A</v>
      </c>
      <c r="K15" s="23" t="s">
        <v>1083</v>
      </c>
      <c r="M15" s="59"/>
      <c r="N15" s="25" t="e">
        <f>VLOOKUP(M15,Roster!$A$2:$B$5000,2,FALSE)</f>
        <v>#N/A</v>
      </c>
      <c r="O15" s="38" t="s">
        <v>1334</v>
      </c>
    </row>
    <row r="16" spans="1:15" ht="15.75">
      <c r="A16" s="23"/>
      <c r="B16" s="25" t="e">
        <f>VLOOKUP(A16,Roster!$A$2:$B$5000,2,FALSE)</f>
        <v>#N/A</v>
      </c>
      <c r="C16" s="39" t="s">
        <v>1069</v>
      </c>
      <c r="D16" s="5"/>
      <c r="E16" s="23"/>
      <c r="F16" s="25" t="e">
        <f>VLOOKUP(E16,Roster!$A$2:$B$5000,2,FALSE)</f>
        <v>#N/A</v>
      </c>
      <c r="G16" s="39" t="s">
        <v>1077</v>
      </c>
      <c r="I16" s="23"/>
      <c r="J16" s="25" t="e">
        <f>VLOOKUP(I16,Roster!$A$2:$B$5000,2,FALSE)</f>
        <v>#N/A</v>
      </c>
      <c r="K16" s="23" t="s">
        <v>1083</v>
      </c>
      <c r="M16" s="59"/>
      <c r="N16" s="25" t="e">
        <f>VLOOKUP(M16,Roster!$A$2:$B$5000,2,FALSE)</f>
        <v>#N/A</v>
      </c>
      <c r="O16" s="38" t="s">
        <v>1335</v>
      </c>
    </row>
    <row r="17" spans="1:15" ht="16.5" thickBot="1">
      <c r="A17" s="24"/>
      <c r="B17" s="26" t="e">
        <f>VLOOKUP(A17,Roster!$A$2:$B$5000,2,FALSE)</f>
        <v>#N/A</v>
      </c>
      <c r="C17" s="40" t="s">
        <v>1069</v>
      </c>
      <c r="D17" s="5"/>
      <c r="E17" s="23"/>
      <c r="F17" s="25" t="e">
        <f>VLOOKUP(E17,Roster!$A$2:$B$5000,2,FALSE)</f>
        <v>#N/A</v>
      </c>
      <c r="G17" s="39" t="s">
        <v>1077</v>
      </c>
      <c r="I17" s="23"/>
      <c r="J17" s="25" t="e">
        <f>VLOOKUP(I17,Roster!$A$2:$B$5000,2,FALSE)</f>
        <v>#N/A</v>
      </c>
      <c r="K17" s="23" t="s">
        <v>1083</v>
      </c>
      <c r="M17" s="59"/>
      <c r="N17" s="25" t="e">
        <f>VLOOKUP(M17,Roster!$A$2:$B$5000,2,FALSE)</f>
        <v>#N/A</v>
      </c>
      <c r="O17" s="38" t="s">
        <v>1335</v>
      </c>
    </row>
    <row r="18" spans="1:15" ht="16.5" thickBot="1">
      <c r="A18" s="43"/>
      <c r="B18" s="32" t="e">
        <f>VLOOKUP(A18,Roster!$A$2:$B$5000,2,FALSE)</f>
        <v>#N/A</v>
      </c>
      <c r="C18" s="38" t="s">
        <v>1318</v>
      </c>
      <c r="D18" s="5"/>
      <c r="E18" s="24"/>
      <c r="F18" s="26" t="e">
        <f>VLOOKUP(E18,Roster!$A$2:$B$5000,2,FALSE)</f>
        <v>#N/A</v>
      </c>
      <c r="G18" s="40" t="s">
        <v>1077</v>
      </c>
      <c r="I18" s="24"/>
      <c r="J18" s="26" t="e">
        <f>VLOOKUP(I18,Roster!$A$2:$B$5000,2,FALSE)</f>
        <v>#N/A</v>
      </c>
      <c r="K18" s="24" t="s">
        <v>1083</v>
      </c>
      <c r="M18" s="59"/>
      <c r="N18" s="25" t="e">
        <f>VLOOKUP(M18,Roster!$A$2:$B$5000,2,FALSE)</f>
        <v>#N/A</v>
      </c>
      <c r="O18" s="38" t="s">
        <v>1335</v>
      </c>
    </row>
    <row r="19" spans="1:15" ht="15.75">
      <c r="A19" s="23"/>
      <c r="B19" s="25" t="e">
        <f>VLOOKUP(A19,Roster!$A$2:$B$5000,2,FALSE)</f>
        <v>#N/A</v>
      </c>
      <c r="C19" s="39" t="s">
        <v>1318</v>
      </c>
      <c r="D19" s="5"/>
      <c r="E19" s="33"/>
      <c r="F19" s="22" t="e">
        <f>VLOOKUP(E19,Roster!$A$2:$B$5000,2,FALSE)</f>
        <v>#N/A</v>
      </c>
      <c r="G19" s="41" t="s">
        <v>1078</v>
      </c>
      <c r="I19" s="33"/>
      <c r="J19" s="22" t="e">
        <f>VLOOKUP(I19,Roster!$A$2:$B$5000,2,FALSE)</f>
        <v>#N/A</v>
      </c>
      <c r="K19" s="23" t="s">
        <v>1316</v>
      </c>
      <c r="M19" s="59"/>
      <c r="N19" s="25" t="e">
        <f>VLOOKUP(M19,Roster!$A$2:$B$5000,2,FALSE)</f>
        <v>#N/A</v>
      </c>
      <c r="O19" s="38" t="s">
        <v>1335</v>
      </c>
    </row>
    <row r="20" spans="1:15" ht="16.5" thickBot="1">
      <c r="A20" s="23"/>
      <c r="B20" s="25" t="e">
        <f>VLOOKUP(A20,Roster!$A$2:$B$5000,2,FALSE)</f>
        <v>#N/A</v>
      </c>
      <c r="C20" s="39" t="s">
        <v>1318</v>
      </c>
      <c r="D20" s="5"/>
      <c r="E20" s="23"/>
      <c r="F20" s="25" t="e">
        <f>VLOOKUP(E20,Roster!$A$2:$B$5000,2,FALSE)</f>
        <v>#N/A</v>
      </c>
      <c r="G20" s="39" t="s">
        <v>1078</v>
      </c>
      <c r="I20" s="24"/>
      <c r="J20" s="24" t="e">
        <f>VLOOKUP(I20,Roster!$A$2:$B$5000,2,FALSE)</f>
        <v>#N/A</v>
      </c>
      <c r="K20" s="24" t="s">
        <v>1316</v>
      </c>
      <c r="M20" s="59"/>
      <c r="N20" s="25" t="e">
        <f>VLOOKUP(M20,Roster!$A$2:$B$5000,2,FALSE)</f>
        <v>#N/A</v>
      </c>
      <c r="O20" s="38" t="s">
        <v>1335</v>
      </c>
    </row>
    <row r="21" spans="1:15" ht="15.75">
      <c r="A21" s="23"/>
      <c r="B21" s="25" t="e">
        <f>VLOOKUP(A21,Roster!$A$2:$B$5000,2,FALSE)</f>
        <v>#N/A</v>
      </c>
      <c r="C21" s="39" t="s">
        <v>1318</v>
      </c>
      <c r="D21" s="5"/>
      <c r="E21" s="23"/>
      <c r="F21" s="25" t="e">
        <f>VLOOKUP(E21,Roster!$A$2:$B$5000,2,FALSE)</f>
        <v>#N/A</v>
      </c>
      <c r="G21" s="39" t="s">
        <v>1078</v>
      </c>
      <c r="I21" s="23"/>
      <c r="J21" s="25" t="e">
        <f>VLOOKUP(I21,Roster!$A$2:$B$5000,2,FALSE)</f>
        <v>#N/A</v>
      </c>
      <c r="K21" s="23" t="s">
        <v>1084</v>
      </c>
      <c r="M21" s="59"/>
      <c r="N21" s="25" t="e">
        <f>VLOOKUP(M21,Roster!$A$2:$B$5000,2,FALSE)</f>
        <v>#N/A</v>
      </c>
      <c r="O21" s="38" t="s">
        <v>1335</v>
      </c>
    </row>
    <row r="22" spans="1:15" ht="16.5" thickBot="1">
      <c r="A22" s="24"/>
      <c r="B22" s="26" t="e">
        <f>VLOOKUP(A22,Roster!$A$2:$B$5000,2,FALSE)</f>
        <v>#N/A</v>
      </c>
      <c r="C22" s="39" t="s">
        <v>1318</v>
      </c>
      <c r="D22" s="5"/>
      <c r="E22" s="23"/>
      <c r="F22" s="25" t="e">
        <f>VLOOKUP(E22,Roster!$A$2:$B$5000,2,FALSE)</f>
        <v>#N/A</v>
      </c>
      <c r="G22" s="39" t="s">
        <v>1078</v>
      </c>
      <c r="I22" s="23"/>
      <c r="J22" s="25" t="e">
        <f>VLOOKUP(I22,Roster!$A$2:$B$5000,2,FALSE)</f>
        <v>#N/A</v>
      </c>
      <c r="K22" s="23" t="s">
        <v>1084</v>
      </c>
      <c r="M22" s="59"/>
      <c r="N22" s="25" t="e">
        <f>VLOOKUP(M22,Roster!$A$2:$B$5000,2,FALSE)</f>
        <v>#N/A</v>
      </c>
      <c r="O22" s="38" t="s">
        <v>1335</v>
      </c>
    </row>
    <row r="23" spans="1:15" ht="16.5" thickBot="1">
      <c r="A23" s="43"/>
      <c r="B23" s="22" t="e">
        <f>VLOOKUP(A23,Roster!$A$2:$B$5000,2,FALSE)</f>
        <v>#N/A</v>
      </c>
      <c r="C23" s="38" t="s">
        <v>1070</v>
      </c>
      <c r="D23" s="5"/>
      <c r="E23" s="24"/>
      <c r="F23" s="26" t="e">
        <f>VLOOKUP(E23,Roster!$A$2:$B$5000,2,FALSE)</f>
        <v>#N/A</v>
      </c>
      <c r="G23" s="40" t="s">
        <v>1078</v>
      </c>
      <c r="I23" s="24"/>
      <c r="J23" s="26" t="e">
        <f>VLOOKUP(I23,Roster!$A$2:$B$5000,2,FALSE)</f>
        <v>#N/A</v>
      </c>
      <c r="K23" s="24" t="s">
        <v>1084</v>
      </c>
      <c r="M23" s="59"/>
      <c r="N23" s="25" t="e">
        <f>VLOOKUP(M23,Roster!$A$2:$B$5000,2,FALSE)</f>
        <v>#N/A</v>
      </c>
      <c r="O23" s="38" t="s">
        <v>1335</v>
      </c>
    </row>
    <row r="24" spans="1:15" ht="15.75">
      <c r="A24" s="23"/>
      <c r="B24" s="25" t="e">
        <f>VLOOKUP(A24,Roster!$A$2:$B$5000,2,FALSE)</f>
        <v>#N/A</v>
      </c>
      <c r="C24" s="39" t="s">
        <v>1070</v>
      </c>
      <c r="D24" s="5"/>
      <c r="E24" s="43"/>
      <c r="F24" s="32" t="e">
        <f>VLOOKUP(E24,Roster!$A$2:$B$5000,2,FALSE)</f>
        <v>#N/A</v>
      </c>
      <c r="G24" s="38" t="s">
        <v>1079</v>
      </c>
      <c r="I24" s="43"/>
      <c r="J24" s="32" t="e">
        <f>VLOOKUP(I24,Roster!$A$2:$B$5000,2,FALSE)</f>
        <v>#N/A</v>
      </c>
      <c r="K24" s="43" t="s">
        <v>1085</v>
      </c>
      <c r="M24" s="59"/>
      <c r="N24" s="25" t="e">
        <f>VLOOKUP(M24,Roster!$A$2:$B$5000,2,FALSE)</f>
        <v>#N/A</v>
      </c>
      <c r="O24" s="38" t="s">
        <v>1335</v>
      </c>
    </row>
    <row r="25" spans="1:15" ht="15.75">
      <c r="A25" s="23"/>
      <c r="B25" s="25" t="e">
        <f>VLOOKUP(A25,Roster!$A$2:$B$5000,2,FALSE)</f>
        <v>#N/A</v>
      </c>
      <c r="C25" s="39" t="s">
        <v>1070</v>
      </c>
      <c r="D25" s="5"/>
      <c r="E25" s="23"/>
      <c r="F25" s="25" t="e">
        <f>VLOOKUP(E25,Roster!$A$2:$B$5000,2,FALSE)</f>
        <v>#N/A</v>
      </c>
      <c r="G25" s="39" t="s">
        <v>1079</v>
      </c>
      <c r="I25" s="23"/>
      <c r="J25" s="25" t="e">
        <f>VLOOKUP(I25,Roster!$A$2:$B$5000,2,FALSE)</f>
        <v>#N/A</v>
      </c>
      <c r="K25" s="23" t="s">
        <v>1085</v>
      </c>
      <c r="M25" s="59"/>
      <c r="N25" s="25" t="e">
        <f>VLOOKUP(M25,Roster!$A$2:$B$5000,2,FALSE)</f>
        <v>#N/A</v>
      </c>
      <c r="O25" s="38" t="s">
        <v>1335</v>
      </c>
    </row>
    <row r="26" spans="1:15" ht="15.75">
      <c r="A26" s="23"/>
      <c r="B26" s="25" t="e">
        <f>VLOOKUP(A26,Roster!$A$2:$B$5000,2,FALSE)</f>
        <v>#N/A</v>
      </c>
      <c r="C26" s="39" t="s">
        <v>1070</v>
      </c>
      <c r="D26" s="5"/>
      <c r="E26" s="23"/>
      <c r="F26" s="25" t="e">
        <f>VLOOKUP(E26,Roster!$A$2:$B$5000,2,FALSE)</f>
        <v>#N/A</v>
      </c>
      <c r="G26" s="39" t="s">
        <v>1079</v>
      </c>
      <c r="I26" s="23"/>
      <c r="J26" s="25" t="e">
        <f>VLOOKUP(I26,Roster!$A$2:$B$5000,2,FALSE)</f>
        <v>#N/A</v>
      </c>
      <c r="K26" s="23" t="s">
        <v>1085</v>
      </c>
      <c r="M26" s="59"/>
      <c r="N26" s="25" t="e">
        <f>VLOOKUP(M26,Roster!$A$2:$B$5000,2,FALSE)</f>
        <v>#N/A</v>
      </c>
      <c r="O26" s="38" t="s">
        <v>1335</v>
      </c>
    </row>
    <row r="27" spans="1:15" ht="16.5" thickBot="1">
      <c r="A27" s="23"/>
      <c r="B27" s="25" t="e">
        <f>VLOOKUP(A27,Roster!$A$2:$B$5000,2,FALSE)</f>
        <v>#N/A</v>
      </c>
      <c r="C27" s="39" t="s">
        <v>1070</v>
      </c>
      <c r="D27" s="5"/>
      <c r="E27" s="23"/>
      <c r="F27" s="25" t="e">
        <f>VLOOKUP(E27,Roster!$A$2:$B$5000,2,FALSE)</f>
        <v>#N/A</v>
      </c>
      <c r="G27" s="39" t="s">
        <v>1079</v>
      </c>
      <c r="I27" s="23"/>
      <c r="J27" s="25" t="e">
        <f>VLOOKUP(I27,Roster!$A$2:$B$5000,2,FALSE)</f>
        <v>#N/A</v>
      </c>
      <c r="K27" s="23" t="s">
        <v>1085</v>
      </c>
      <c r="M27" s="59"/>
      <c r="N27" s="26" t="e">
        <f>VLOOKUP(M27,Roster!$A$2:$B$5000,2,FALSE)</f>
        <v>#N/A</v>
      </c>
      <c r="O27" s="38" t="s">
        <v>1335</v>
      </c>
    </row>
    <row r="28" spans="1:15" ht="16.5" thickBot="1">
      <c r="A28" s="23"/>
      <c r="B28" s="25" t="e">
        <f>VLOOKUP(A28,Roster!$A$2:$B$5000,2,FALSE)</f>
        <v>#N/A</v>
      </c>
      <c r="C28" s="39" t="s">
        <v>1070</v>
      </c>
      <c r="D28" s="5"/>
      <c r="E28" s="24"/>
      <c r="F28" s="26" t="e">
        <f>VLOOKUP(E28,Roster!$A$2:$B$5000,2,FALSE)</f>
        <v>#N/A</v>
      </c>
      <c r="G28" s="40" t="s">
        <v>1079</v>
      </c>
      <c r="I28" s="23"/>
      <c r="J28" s="26" t="e">
        <f>VLOOKUP(I28,Roster!$A$2:$B$5000,2,FALSE)</f>
        <v>#N/A</v>
      </c>
      <c r="K28" s="23" t="s">
        <v>1085</v>
      </c>
      <c r="M28" s="59"/>
      <c r="N28" s="26" t="e">
        <f>VLOOKUP(M28,Roster!$A$2:$B$5000,2,FALSE)</f>
        <v>#N/A</v>
      </c>
      <c r="O28" s="38" t="s">
        <v>1335</v>
      </c>
    </row>
    <row r="29" spans="1:15" ht="16.5" thickBot="1">
      <c r="A29" s="23"/>
      <c r="B29" s="25" t="e">
        <f>VLOOKUP(A29,Roster!$A$2:$B$5000,2,FALSE)</f>
        <v>#N/A</v>
      </c>
      <c r="C29" s="39" t="s">
        <v>1070</v>
      </c>
      <c r="D29" s="5"/>
      <c r="I29" s="43"/>
      <c r="J29" s="26" t="e">
        <f>VLOOKUP(I29,Roster!$A$2:$B$5000,2,FALSE)</f>
        <v>#N/A</v>
      </c>
      <c r="K29" s="24" t="s">
        <v>1317</v>
      </c>
    </row>
    <row r="30" spans="1:15" ht="15.75">
      <c r="A30" s="23"/>
      <c r="B30" s="25" t="e">
        <f>VLOOKUP(A30,Roster!$A$2:$B$5000,2,FALSE)</f>
        <v>#N/A</v>
      </c>
      <c r="C30" s="39" t="s">
        <v>1070</v>
      </c>
      <c r="D30" s="5"/>
    </row>
    <row r="31" spans="1:15" ht="15.75">
      <c r="A31" s="23"/>
      <c r="B31" s="25" t="e">
        <f>VLOOKUP(A31,Roster!$A$2:$B$5000,2,FALSE)</f>
        <v>#N/A</v>
      </c>
      <c r="C31" s="39" t="s">
        <v>1070</v>
      </c>
      <c r="D31" s="5"/>
    </row>
    <row r="32" spans="1:15" ht="16.5" thickBot="1">
      <c r="A32" s="24"/>
      <c r="B32" s="26" t="e">
        <f>VLOOKUP(A32,Roster!$A$2:$B$5000,2,FALSE)</f>
        <v>#N/A</v>
      </c>
      <c r="C32" s="40" t="s">
        <v>1070</v>
      </c>
      <c r="D32" s="5"/>
    </row>
    <row r="33" spans="1:4" ht="15.75">
      <c r="A33" s="43"/>
      <c r="B33" s="22" t="e">
        <f>VLOOKUP(A33,Roster!$A$2:$B$5000,2,FALSE)</f>
        <v>#N/A</v>
      </c>
      <c r="C33" s="38" t="s">
        <v>1071</v>
      </c>
      <c r="D33" s="5"/>
    </row>
    <row r="34" spans="1:4" ht="15.75">
      <c r="A34" s="23"/>
      <c r="B34" s="25" t="e">
        <f>VLOOKUP(A34,Roster!$A$2:$B$5000,2,FALSE)</f>
        <v>#N/A</v>
      </c>
      <c r="C34" s="39" t="s">
        <v>1071</v>
      </c>
      <c r="D34" s="5"/>
    </row>
    <row r="35" spans="1:4" ht="15.75">
      <c r="A35" s="23"/>
      <c r="B35" s="25" t="e">
        <f>VLOOKUP(A35,Roster!$A$2:$B$5000,2,FALSE)</f>
        <v>#N/A</v>
      </c>
      <c r="C35" s="39" t="s">
        <v>1071</v>
      </c>
      <c r="D35" s="5"/>
    </row>
    <row r="36" spans="1:4" ht="15.75">
      <c r="A36" s="23"/>
      <c r="B36" s="25" t="e">
        <f>VLOOKUP(A36,Roster!$A$2:$B$5000,2,FALSE)</f>
        <v>#N/A</v>
      </c>
      <c r="C36" s="39" t="s">
        <v>1071</v>
      </c>
      <c r="D36" s="5"/>
    </row>
    <row r="37" spans="1:4" ht="15.75">
      <c r="A37" s="23"/>
      <c r="B37" s="25" t="e">
        <f>VLOOKUP(A37,Roster!$A$2:$B$5000,2,FALSE)</f>
        <v>#N/A</v>
      </c>
      <c r="C37" s="39" t="s">
        <v>1319</v>
      </c>
      <c r="D37" s="5"/>
    </row>
    <row r="38" spans="1:4" ht="15.75">
      <c r="A38" s="23"/>
      <c r="B38" s="25" t="e">
        <f>VLOOKUP(A38,Roster!$A$2:$B$5000,2,FALSE)</f>
        <v>#N/A</v>
      </c>
      <c r="C38" s="39" t="s">
        <v>1319</v>
      </c>
      <c r="D38" s="5"/>
    </row>
    <row r="39" spans="1:4" ht="15.75">
      <c r="A39" s="23"/>
      <c r="B39" s="25" t="e">
        <f>VLOOKUP(A39,Roster!$A$2:$B$5000,2,FALSE)</f>
        <v>#N/A</v>
      </c>
      <c r="C39" s="39" t="s">
        <v>1319</v>
      </c>
      <c r="D39" s="5"/>
    </row>
    <row r="40" spans="1:4" ht="15.75">
      <c r="A40" s="23"/>
      <c r="B40" s="25" t="e">
        <f>VLOOKUP(A40,Roster!$A$2:$B$5000,2,FALSE)</f>
        <v>#N/A</v>
      </c>
      <c r="C40" s="39" t="s">
        <v>1319</v>
      </c>
      <c r="D40" s="5"/>
    </row>
    <row r="41" spans="1:4" ht="15.75">
      <c r="A41" s="23"/>
      <c r="B41" s="25" t="e">
        <f>VLOOKUP(A41,Roster!$A$2:$B$5000,2,FALSE)</f>
        <v>#N/A</v>
      </c>
      <c r="C41" s="39" t="s">
        <v>1319</v>
      </c>
      <c r="D41" s="5"/>
    </row>
    <row r="42" spans="1:4" ht="16.5" thickBot="1">
      <c r="A42" s="24"/>
      <c r="B42" s="26" t="e">
        <f>VLOOKUP(A42,Roster!$A$2:$B$5000,2,FALSE)</f>
        <v>#N/A</v>
      </c>
      <c r="C42" s="39" t="s">
        <v>1319</v>
      </c>
      <c r="D42" s="5"/>
    </row>
    <row r="43" spans="1:4" ht="15.75">
      <c r="A43" s="1"/>
      <c r="B43" s="1"/>
      <c r="C43" s="1"/>
      <c r="D43" s="5"/>
    </row>
    <row r="44" spans="1:4"/>
    <row r="45" spans="1:4"/>
    <row r="46" spans="1:4" ht="16.5" customHeight="1"/>
    <row r="47" spans="1:4"/>
    <row r="48" spans="1:4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</sheetData>
  <mergeCells count="5">
    <mergeCell ref="M1:O1"/>
    <mergeCell ref="A1:C1"/>
    <mergeCell ref="E2:G2"/>
    <mergeCell ref="I2:K2"/>
    <mergeCell ref="E1:K1"/>
  </mergeCells>
  <phoneticPr fontId="10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38" r:id="rId4" name="learningPIT">
          <controlPr defaultSize="0" autoLine="0" r:id="rId5">
            <anchor moveWithCells="1">
              <from>
                <xdr:col>16</xdr:col>
                <xdr:colOff>95250</xdr:colOff>
                <xdr:row>49</xdr:row>
                <xdr:rowOff>19050</xdr:rowOff>
              </from>
              <to>
                <xdr:col>18</xdr:col>
                <xdr:colOff>428625</xdr:colOff>
                <xdr:row>51</xdr:row>
                <xdr:rowOff>180975</xdr:rowOff>
              </to>
            </anchor>
          </controlPr>
        </control>
      </mc:Choice>
      <mc:Fallback>
        <control shapeId="5138" r:id="rId4" name="learningPIT"/>
      </mc:Fallback>
    </mc:AlternateContent>
    <mc:AlternateContent xmlns:mc="http://schemas.openxmlformats.org/markup-compatibility/2006">
      <mc:Choice Requires="x14">
        <control shapeId="5137" r:id="rId6" name="learningGeneral">
          <controlPr defaultSize="0" autoLine="0" r:id="rId7">
            <anchor moveWithCells="1">
              <from>
                <xdr:col>16</xdr:col>
                <xdr:colOff>95250</xdr:colOff>
                <xdr:row>46</xdr:row>
                <xdr:rowOff>47625</xdr:rowOff>
              </from>
              <to>
                <xdr:col>18</xdr:col>
                <xdr:colOff>428625</xdr:colOff>
                <xdr:row>49</xdr:row>
                <xdr:rowOff>19050</xdr:rowOff>
              </to>
            </anchor>
          </controlPr>
        </control>
      </mc:Choice>
      <mc:Fallback>
        <control shapeId="5137" r:id="rId6" name="learningGeneral"/>
      </mc:Fallback>
    </mc:AlternateContent>
    <mc:AlternateContent xmlns:mc="http://schemas.openxmlformats.org/markup-compatibility/2006">
      <mc:Choice Requires="x14">
        <control shapeId="5136" r:id="rId8" name="pickSkips">
          <controlPr defaultSize="0" autoLine="0" r:id="rId9">
            <anchor moveWithCells="1">
              <from>
                <xdr:col>13</xdr:col>
                <xdr:colOff>152400</xdr:colOff>
                <xdr:row>57</xdr:row>
                <xdr:rowOff>180975</xdr:rowOff>
              </from>
              <to>
                <xdr:col>13</xdr:col>
                <xdr:colOff>1704975</xdr:colOff>
                <xdr:row>60</xdr:row>
                <xdr:rowOff>152400</xdr:rowOff>
              </to>
            </anchor>
          </controlPr>
        </control>
      </mc:Choice>
      <mc:Fallback>
        <control shapeId="5136" r:id="rId8" name="pickSkips"/>
      </mc:Fallback>
    </mc:AlternateContent>
    <mc:AlternateContent xmlns:mc="http://schemas.openxmlformats.org/markup-compatibility/2006">
      <mc:Choice Requires="x14">
        <control shapeId="5135" r:id="rId10" name="CPTChase">
          <controlPr defaultSize="0" autoLine="0" r:id="rId11">
            <anchor moveWithCells="1">
              <from>
                <xdr:col>13</xdr:col>
                <xdr:colOff>152400</xdr:colOff>
                <xdr:row>55</xdr:row>
                <xdr:rowOff>0</xdr:rowOff>
              </from>
              <to>
                <xdr:col>13</xdr:col>
                <xdr:colOff>1704975</xdr:colOff>
                <xdr:row>57</xdr:row>
                <xdr:rowOff>171450</xdr:rowOff>
              </to>
            </anchor>
          </controlPr>
        </control>
      </mc:Choice>
      <mc:Fallback>
        <control shapeId="5135" r:id="rId10" name="CPTChase"/>
      </mc:Fallback>
    </mc:AlternateContent>
    <mc:AlternateContent xmlns:mc="http://schemas.openxmlformats.org/markup-compatibility/2006">
      <mc:Choice Requires="x14">
        <control shapeId="5134" r:id="rId12" name="UISPS">
          <controlPr defaultSize="0" autoLine="0" r:id="rId13">
            <anchor moveWithCells="1">
              <from>
                <xdr:col>13</xdr:col>
                <xdr:colOff>152400</xdr:colOff>
                <xdr:row>52</xdr:row>
                <xdr:rowOff>38100</xdr:rowOff>
              </from>
              <to>
                <xdr:col>13</xdr:col>
                <xdr:colOff>1704975</xdr:colOff>
                <xdr:row>55</xdr:row>
                <xdr:rowOff>19050</xdr:rowOff>
              </to>
            </anchor>
          </controlPr>
        </control>
      </mc:Choice>
      <mc:Fallback>
        <control shapeId="5134" r:id="rId12" name="UISPS"/>
      </mc:Fallback>
    </mc:AlternateContent>
    <mc:AlternateContent xmlns:mc="http://schemas.openxmlformats.org/markup-compatibility/2006">
      <mc:Choice Requires="x14">
        <control shapeId="5133" r:id="rId14" name="OBRunner">
          <controlPr defaultSize="0" autoLine="0" r:id="rId15">
            <anchor moveWithCells="1">
              <from>
                <xdr:col>13</xdr:col>
                <xdr:colOff>152400</xdr:colOff>
                <xdr:row>49</xdr:row>
                <xdr:rowOff>47625</xdr:rowOff>
              </from>
              <to>
                <xdr:col>13</xdr:col>
                <xdr:colOff>1704975</xdr:colOff>
                <xdr:row>52</xdr:row>
                <xdr:rowOff>28575</xdr:rowOff>
              </to>
            </anchor>
          </controlPr>
        </control>
      </mc:Choice>
      <mc:Fallback>
        <control shapeId="5133" r:id="rId14" name="OBRunner"/>
      </mc:Fallback>
    </mc:AlternateContent>
    <mc:AlternateContent xmlns:mc="http://schemas.openxmlformats.org/markup-compatibility/2006">
      <mc:Choice Requires="x14">
        <control shapeId="5132" r:id="rId16" name="palletPS">
          <controlPr defaultSize="0" autoLine="0" r:id="rId17">
            <anchor moveWithCells="1">
              <from>
                <xdr:col>12</xdr:col>
                <xdr:colOff>57150</xdr:colOff>
                <xdr:row>57</xdr:row>
                <xdr:rowOff>171450</xdr:rowOff>
              </from>
              <to>
                <xdr:col>13</xdr:col>
                <xdr:colOff>133350</xdr:colOff>
                <xdr:row>60</xdr:row>
                <xdr:rowOff>152400</xdr:rowOff>
              </to>
            </anchor>
          </controlPr>
        </control>
      </mc:Choice>
      <mc:Fallback>
        <control shapeId="5132" r:id="rId16" name="palletPS"/>
      </mc:Fallback>
    </mc:AlternateContent>
    <mc:AlternateContent xmlns:mc="http://schemas.openxmlformats.org/markup-compatibility/2006">
      <mc:Choice Requires="x14">
        <control shapeId="5131" r:id="rId18" name="IOL">
          <controlPr defaultSize="0" autoLine="0" r:id="rId19">
            <anchor moveWithCells="1">
              <from>
                <xdr:col>12</xdr:col>
                <xdr:colOff>57150</xdr:colOff>
                <xdr:row>55</xdr:row>
                <xdr:rowOff>9525</xdr:rowOff>
              </from>
              <to>
                <xdr:col>13</xdr:col>
                <xdr:colOff>133350</xdr:colOff>
                <xdr:row>57</xdr:row>
                <xdr:rowOff>180975</xdr:rowOff>
              </to>
            </anchor>
          </controlPr>
        </control>
      </mc:Choice>
      <mc:Fallback>
        <control shapeId="5131" r:id="rId18" name="IOL"/>
      </mc:Fallback>
    </mc:AlternateContent>
    <mc:AlternateContent xmlns:mc="http://schemas.openxmlformats.org/markup-compatibility/2006">
      <mc:Choice Requires="x14">
        <control shapeId="5130" r:id="rId20" name="damage">
          <controlPr defaultSize="0" autoLine="0" r:id="rId21">
            <anchor moveWithCells="1">
              <from>
                <xdr:col>12</xdr:col>
                <xdr:colOff>57150</xdr:colOff>
                <xdr:row>52</xdr:row>
                <xdr:rowOff>19050</xdr:rowOff>
              </from>
              <to>
                <xdr:col>13</xdr:col>
                <xdr:colOff>133350</xdr:colOff>
                <xdr:row>55</xdr:row>
                <xdr:rowOff>9525</xdr:rowOff>
              </to>
            </anchor>
          </controlPr>
        </control>
      </mc:Choice>
      <mc:Fallback>
        <control shapeId="5130" r:id="rId20" name="damage"/>
      </mc:Fallback>
    </mc:AlternateContent>
    <mc:AlternateContent xmlns:mc="http://schemas.openxmlformats.org/markup-compatibility/2006">
      <mc:Choice Requires="x14">
        <control shapeId="5129" r:id="rId22" name="StowKiosk">
          <controlPr defaultSize="0" autoLine="0" r:id="rId23">
            <anchor moveWithCells="1">
              <from>
                <xdr:col>12</xdr:col>
                <xdr:colOff>57150</xdr:colOff>
                <xdr:row>49</xdr:row>
                <xdr:rowOff>47625</xdr:rowOff>
              </from>
              <to>
                <xdr:col>13</xdr:col>
                <xdr:colOff>133350</xdr:colOff>
                <xdr:row>52</xdr:row>
                <xdr:rowOff>28575</xdr:rowOff>
              </to>
            </anchor>
          </controlPr>
        </control>
      </mc:Choice>
      <mc:Fallback>
        <control shapeId="5129" r:id="rId22" name="StowKiosk"/>
      </mc:Fallback>
    </mc:AlternateContent>
    <mc:AlternateContent xmlns:mc="http://schemas.openxmlformats.org/markup-compatibility/2006">
      <mc:Choice Requires="x14">
        <control shapeId="5128" r:id="rId24" name="OBJP">
          <controlPr defaultSize="0" autoLine="0" r:id="rId25">
            <anchor moveWithCells="1">
              <from>
                <xdr:col>13</xdr:col>
                <xdr:colOff>152400</xdr:colOff>
                <xdr:row>46</xdr:row>
                <xdr:rowOff>57150</xdr:rowOff>
              </from>
              <to>
                <xdr:col>13</xdr:col>
                <xdr:colOff>1714500</xdr:colOff>
                <xdr:row>49</xdr:row>
                <xdr:rowOff>38100</xdr:rowOff>
              </to>
            </anchor>
          </controlPr>
        </control>
      </mc:Choice>
      <mc:Fallback>
        <control shapeId="5128" r:id="rId24" name="OBJP"/>
      </mc:Fallback>
    </mc:AlternateContent>
    <mc:AlternateContent xmlns:mc="http://schemas.openxmlformats.org/markup-compatibility/2006">
      <mc:Choice Requires="x14">
        <control shapeId="5127" r:id="rId26" name="IBJP">
          <controlPr defaultSize="0" autoLine="0" autoPict="0" r:id="rId27">
            <anchor moveWithCells="1">
              <from>
                <xdr:col>12</xdr:col>
                <xdr:colOff>57150</xdr:colOff>
                <xdr:row>46</xdr:row>
                <xdr:rowOff>57150</xdr:rowOff>
              </from>
              <to>
                <xdr:col>13</xdr:col>
                <xdr:colOff>142875</xdr:colOff>
                <xdr:row>49</xdr:row>
                <xdr:rowOff>47625</xdr:rowOff>
              </to>
            </anchor>
          </controlPr>
        </control>
      </mc:Choice>
      <mc:Fallback>
        <control shapeId="5127" r:id="rId26" name="IBJP"/>
      </mc:Fallback>
    </mc:AlternateContent>
    <mc:AlternateContent xmlns:mc="http://schemas.openxmlformats.org/markup-compatibility/2006">
      <mc:Choice Requires="x14">
        <control shapeId="5125" r:id="rId28" name="andons">
          <controlPr defaultSize="0" autoLine="0" autoPict="0" r:id="rId29">
            <anchor moveWithCells="1">
              <from>
                <xdr:col>7</xdr:col>
                <xdr:colOff>161925</xdr:colOff>
                <xdr:row>51</xdr:row>
                <xdr:rowOff>104775</xdr:rowOff>
              </from>
              <to>
                <xdr:col>9</xdr:col>
                <xdr:colOff>1285875</xdr:colOff>
                <xdr:row>56</xdr:row>
                <xdr:rowOff>95250</xdr:rowOff>
              </to>
            </anchor>
          </controlPr>
        </control>
      </mc:Choice>
      <mc:Fallback>
        <control shapeId="5125" r:id="rId28" name="andons"/>
      </mc:Fallback>
    </mc:AlternateContent>
    <mc:AlternateContent xmlns:mc="http://schemas.openxmlformats.org/markup-compatibility/2006">
      <mc:Choice Requires="x14">
        <control shapeId="5124" r:id="rId30" name="SimpleBinCount">
          <controlPr defaultSize="0" autoLine="0" autoPict="0" r:id="rId31">
            <anchor moveWithCells="1">
              <from>
                <xdr:col>7</xdr:col>
                <xdr:colOff>161925</xdr:colOff>
                <xdr:row>46</xdr:row>
                <xdr:rowOff>95250</xdr:rowOff>
              </from>
              <to>
                <xdr:col>9</xdr:col>
                <xdr:colOff>1285875</xdr:colOff>
                <xdr:row>51</xdr:row>
                <xdr:rowOff>85725</xdr:rowOff>
              </to>
            </anchor>
          </controlPr>
        </control>
      </mc:Choice>
      <mc:Fallback>
        <control shapeId="5124" r:id="rId30" name="SimpleBinCount"/>
      </mc:Fallback>
    </mc:AlternateContent>
    <mc:AlternateContent xmlns:mc="http://schemas.openxmlformats.org/markup-compatibility/2006">
      <mc:Choice Requires="x14">
        <control shapeId="5122" r:id="rId32" name="palletRacking">
          <controlPr defaultSize="0" autoLine="0" autoPict="0" r:id="rId33">
            <anchor moveWithCells="1">
              <from>
                <xdr:col>5</xdr:col>
                <xdr:colOff>171450</xdr:colOff>
                <xdr:row>46</xdr:row>
                <xdr:rowOff>95250</xdr:rowOff>
              </from>
              <to>
                <xdr:col>7</xdr:col>
                <xdr:colOff>123825</xdr:colOff>
                <xdr:row>51</xdr:row>
                <xdr:rowOff>85725</xdr:rowOff>
              </to>
            </anchor>
          </controlPr>
        </control>
      </mc:Choice>
      <mc:Fallback>
        <control shapeId="5122" r:id="rId32" name="palletRacking"/>
      </mc:Fallback>
    </mc:AlternateContent>
    <mc:AlternateContent xmlns:mc="http://schemas.openxmlformats.org/markup-compatibility/2006">
      <mc:Choice Requires="x14">
        <control shapeId="5121" r:id="rId34" name="Counts">
          <controlPr defaultSize="0" autoLine="0" autoPict="0" r:id="rId35">
            <anchor moveWithCells="1">
              <from>
                <xdr:col>5</xdr:col>
                <xdr:colOff>171450</xdr:colOff>
                <xdr:row>51</xdr:row>
                <xdr:rowOff>133350</xdr:rowOff>
              </from>
              <to>
                <xdr:col>7</xdr:col>
                <xdr:colOff>123825</xdr:colOff>
                <xdr:row>56</xdr:row>
                <xdr:rowOff>123825</xdr:rowOff>
              </to>
            </anchor>
          </controlPr>
        </control>
      </mc:Choice>
      <mc:Fallback>
        <control shapeId="5121" r:id="rId34" name="Counts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G1236"/>
  <sheetViews>
    <sheetView topLeftCell="A139" workbookViewId="0">
      <selection activeCell="F160" sqref="F160"/>
    </sheetView>
  </sheetViews>
  <sheetFormatPr defaultRowHeight="15"/>
  <cols>
    <col min="1" max="1" width="15.5703125" bestFit="1" customWidth="1"/>
  </cols>
  <sheetData>
    <row r="1" spans="1:7" ht="14.45" customHeight="1">
      <c r="A1" t="s">
        <v>14</v>
      </c>
      <c r="B1" t="s">
        <v>13</v>
      </c>
      <c r="D1" s="93" t="s">
        <v>1150</v>
      </c>
      <c r="E1" s="94"/>
      <c r="F1" s="94"/>
      <c r="G1" s="95"/>
    </row>
    <row r="2" spans="1:7">
      <c r="A2">
        <v>13567162</v>
      </c>
      <c r="B2" t="s">
        <v>24</v>
      </c>
      <c r="D2" s="96"/>
      <c r="E2" s="97"/>
      <c r="F2" s="97"/>
      <c r="G2" s="98"/>
    </row>
    <row r="3" spans="1:7">
      <c r="A3">
        <v>11499800</v>
      </c>
      <c r="B3" t="s">
        <v>25</v>
      </c>
      <c r="D3" s="96"/>
      <c r="E3" s="97"/>
      <c r="F3" s="97"/>
      <c r="G3" s="98"/>
    </row>
    <row r="4" spans="1:7">
      <c r="A4">
        <v>11830658</v>
      </c>
      <c r="B4" t="s">
        <v>26</v>
      </c>
      <c r="D4" s="96"/>
      <c r="E4" s="97"/>
      <c r="F4" s="97"/>
      <c r="G4" s="98"/>
    </row>
    <row r="5" spans="1:7">
      <c r="A5">
        <v>14813873</v>
      </c>
      <c r="B5" t="s">
        <v>27</v>
      </c>
      <c r="D5" s="96"/>
      <c r="E5" s="97"/>
      <c r="F5" s="97"/>
      <c r="G5" s="98"/>
    </row>
    <row r="6" spans="1:7" ht="15.75" thickBot="1">
      <c r="A6">
        <v>14931823</v>
      </c>
      <c r="B6" t="s">
        <v>28</v>
      </c>
      <c r="D6" s="99"/>
      <c r="E6" s="100"/>
      <c r="F6" s="100"/>
      <c r="G6" s="101"/>
    </row>
    <row r="7" spans="1:7">
      <c r="A7">
        <v>12027335</v>
      </c>
      <c r="B7" t="s">
        <v>29</v>
      </c>
    </row>
    <row r="8" spans="1:7">
      <c r="A8">
        <v>11465097</v>
      </c>
      <c r="B8" t="s">
        <v>30</v>
      </c>
    </row>
    <row r="9" spans="1:7">
      <c r="A9">
        <v>13525328</v>
      </c>
      <c r="B9" t="s">
        <v>31</v>
      </c>
    </row>
    <row r="10" spans="1:7">
      <c r="A10">
        <v>12607586</v>
      </c>
      <c r="B10" t="s">
        <v>32</v>
      </c>
    </row>
    <row r="11" spans="1:7">
      <c r="A11">
        <v>153698</v>
      </c>
      <c r="B11" t="s">
        <v>33</v>
      </c>
    </row>
    <row r="12" spans="1:7">
      <c r="A12">
        <v>12826279</v>
      </c>
      <c r="B12" t="s">
        <v>34</v>
      </c>
    </row>
    <row r="13" spans="1:7">
      <c r="A13">
        <v>13078951</v>
      </c>
      <c r="B13" t="s">
        <v>35</v>
      </c>
    </row>
    <row r="14" spans="1:7">
      <c r="A14">
        <v>12238103</v>
      </c>
      <c r="B14" t="s">
        <v>36</v>
      </c>
    </row>
    <row r="15" spans="1:7">
      <c r="A15">
        <v>12338207</v>
      </c>
      <c r="B15" t="s">
        <v>37</v>
      </c>
    </row>
    <row r="16" spans="1:7">
      <c r="A16">
        <v>11443131</v>
      </c>
      <c r="B16" t="s">
        <v>38</v>
      </c>
    </row>
    <row r="17" spans="1:2">
      <c r="A17">
        <v>14027416</v>
      </c>
      <c r="B17" t="s">
        <v>39</v>
      </c>
    </row>
    <row r="18" spans="1:2">
      <c r="A18">
        <v>14307811</v>
      </c>
      <c r="B18" t="s">
        <v>40</v>
      </c>
    </row>
    <row r="19" spans="1:2">
      <c r="A19">
        <v>12001042</v>
      </c>
      <c r="B19" t="s">
        <v>41</v>
      </c>
    </row>
    <row r="20" spans="1:2">
      <c r="A20">
        <v>13529853</v>
      </c>
      <c r="B20" t="s">
        <v>42</v>
      </c>
    </row>
    <row r="21" spans="1:2">
      <c r="A21">
        <v>15317661</v>
      </c>
      <c r="B21" t="s">
        <v>43</v>
      </c>
    </row>
    <row r="22" spans="1:2">
      <c r="A22">
        <v>13323249</v>
      </c>
      <c r="B22" t="s">
        <v>44</v>
      </c>
    </row>
    <row r="23" spans="1:2">
      <c r="A23">
        <v>14731908</v>
      </c>
      <c r="B23" t="s">
        <v>45</v>
      </c>
    </row>
    <row r="24" spans="1:2">
      <c r="A24">
        <v>12195377</v>
      </c>
      <c r="B24" t="s">
        <v>46</v>
      </c>
    </row>
    <row r="25" spans="1:2">
      <c r="A25">
        <v>11385405</v>
      </c>
      <c r="B25" t="s">
        <v>47</v>
      </c>
    </row>
    <row r="26" spans="1:2">
      <c r="A26">
        <v>14453902</v>
      </c>
      <c r="B26" t="s">
        <v>48</v>
      </c>
    </row>
    <row r="27" spans="1:2">
      <c r="A27">
        <v>11728500</v>
      </c>
      <c r="B27" t="s">
        <v>49</v>
      </c>
    </row>
    <row r="28" spans="1:2">
      <c r="A28">
        <v>14007411</v>
      </c>
      <c r="B28" t="s">
        <v>50</v>
      </c>
    </row>
    <row r="29" spans="1:2">
      <c r="A29">
        <v>14184482</v>
      </c>
      <c r="B29" t="s">
        <v>51</v>
      </c>
    </row>
    <row r="30" spans="1:2">
      <c r="A30">
        <v>14478131</v>
      </c>
      <c r="B30" t="s">
        <v>52</v>
      </c>
    </row>
    <row r="31" spans="1:2">
      <c r="A31">
        <v>13482108</v>
      </c>
      <c r="B31" t="s">
        <v>53</v>
      </c>
    </row>
    <row r="32" spans="1:2">
      <c r="A32">
        <v>12559970</v>
      </c>
      <c r="B32" t="s">
        <v>54</v>
      </c>
    </row>
    <row r="33" spans="1:2">
      <c r="A33">
        <v>12100830</v>
      </c>
      <c r="B33" t="s">
        <v>55</v>
      </c>
    </row>
    <row r="34" spans="1:2">
      <c r="A34">
        <v>15288065</v>
      </c>
      <c r="B34" t="s">
        <v>56</v>
      </c>
    </row>
    <row r="35" spans="1:2">
      <c r="A35">
        <v>12536425</v>
      </c>
      <c r="B35" t="s">
        <v>57</v>
      </c>
    </row>
    <row r="36" spans="1:2">
      <c r="A36">
        <v>13589331</v>
      </c>
      <c r="B36" t="s">
        <v>58</v>
      </c>
    </row>
    <row r="37" spans="1:2">
      <c r="A37">
        <v>13619418</v>
      </c>
      <c r="B37" t="s">
        <v>59</v>
      </c>
    </row>
    <row r="38" spans="1:2">
      <c r="A38">
        <v>14668644</v>
      </c>
      <c r="B38" t="s">
        <v>60</v>
      </c>
    </row>
    <row r="39" spans="1:2">
      <c r="A39">
        <v>11936059</v>
      </c>
      <c r="B39" t="s">
        <v>61</v>
      </c>
    </row>
    <row r="40" spans="1:2">
      <c r="A40">
        <v>13647873</v>
      </c>
      <c r="B40" t="s">
        <v>62</v>
      </c>
    </row>
    <row r="41" spans="1:2">
      <c r="A41">
        <v>12526539</v>
      </c>
      <c r="B41" t="s">
        <v>63</v>
      </c>
    </row>
    <row r="42" spans="1:2">
      <c r="A42">
        <v>14928396</v>
      </c>
      <c r="B42" t="s">
        <v>64</v>
      </c>
    </row>
    <row r="43" spans="1:2">
      <c r="A43">
        <v>13951309</v>
      </c>
      <c r="B43" t="s">
        <v>65</v>
      </c>
    </row>
    <row r="44" spans="1:2">
      <c r="A44">
        <v>13382424</v>
      </c>
      <c r="B44" t="s">
        <v>66</v>
      </c>
    </row>
    <row r="45" spans="1:2">
      <c r="A45">
        <v>14333485</v>
      </c>
      <c r="B45" t="s">
        <v>67</v>
      </c>
    </row>
    <row r="46" spans="1:2">
      <c r="A46">
        <v>13983837</v>
      </c>
      <c r="B46" t="s">
        <v>68</v>
      </c>
    </row>
    <row r="47" spans="1:2">
      <c r="A47">
        <v>15303220</v>
      </c>
      <c r="B47" t="s">
        <v>69</v>
      </c>
    </row>
    <row r="48" spans="1:2">
      <c r="A48">
        <v>14678400</v>
      </c>
      <c r="B48" t="s">
        <v>70</v>
      </c>
    </row>
    <row r="49" spans="1:2">
      <c r="A49">
        <v>14355542</v>
      </c>
      <c r="B49" t="s">
        <v>71</v>
      </c>
    </row>
    <row r="50" spans="1:2">
      <c r="A50">
        <v>11386395</v>
      </c>
      <c r="B50" t="s">
        <v>72</v>
      </c>
    </row>
    <row r="51" spans="1:2">
      <c r="A51">
        <v>15117640</v>
      </c>
      <c r="B51" t="s">
        <v>73</v>
      </c>
    </row>
    <row r="52" spans="1:2">
      <c r="A52">
        <v>13276177</v>
      </c>
      <c r="B52" t="s">
        <v>74</v>
      </c>
    </row>
    <row r="53" spans="1:2">
      <c r="A53">
        <v>14173981</v>
      </c>
      <c r="B53" t="s">
        <v>75</v>
      </c>
    </row>
    <row r="54" spans="1:2">
      <c r="A54">
        <v>12961377</v>
      </c>
      <c r="B54" t="s">
        <v>76</v>
      </c>
    </row>
    <row r="55" spans="1:2">
      <c r="A55">
        <v>14244803</v>
      </c>
      <c r="B55" t="s">
        <v>77</v>
      </c>
    </row>
    <row r="56" spans="1:2">
      <c r="A56">
        <v>11000921</v>
      </c>
      <c r="B56" t="s">
        <v>1088</v>
      </c>
    </row>
    <row r="57" spans="1:2">
      <c r="A57">
        <v>14408540</v>
      </c>
      <c r="B57" t="s">
        <v>78</v>
      </c>
    </row>
    <row r="58" spans="1:2">
      <c r="A58">
        <v>12272455</v>
      </c>
      <c r="B58" t="s">
        <v>79</v>
      </c>
    </row>
    <row r="59" spans="1:2">
      <c r="A59">
        <v>15289562</v>
      </c>
      <c r="B59" t="s">
        <v>80</v>
      </c>
    </row>
    <row r="60" spans="1:2">
      <c r="A60">
        <v>12652093</v>
      </c>
      <c r="B60" t="s">
        <v>1089</v>
      </c>
    </row>
    <row r="61" spans="1:2">
      <c r="A61">
        <v>14646871</v>
      </c>
      <c r="B61" t="s">
        <v>81</v>
      </c>
    </row>
    <row r="62" spans="1:2">
      <c r="A62">
        <v>14311391</v>
      </c>
      <c r="B62" t="s">
        <v>82</v>
      </c>
    </row>
    <row r="63" spans="1:2">
      <c r="A63">
        <v>13762344</v>
      </c>
      <c r="B63" t="s">
        <v>83</v>
      </c>
    </row>
    <row r="64" spans="1:2">
      <c r="A64">
        <v>14297772</v>
      </c>
      <c r="B64" t="s">
        <v>84</v>
      </c>
    </row>
    <row r="65" spans="1:2">
      <c r="A65">
        <v>12217831</v>
      </c>
      <c r="B65" t="s">
        <v>85</v>
      </c>
    </row>
    <row r="66" spans="1:2">
      <c r="A66">
        <v>49473</v>
      </c>
      <c r="B66" t="s">
        <v>86</v>
      </c>
    </row>
    <row r="67" spans="1:2">
      <c r="A67">
        <v>14787119</v>
      </c>
      <c r="B67" t="s">
        <v>87</v>
      </c>
    </row>
    <row r="68" spans="1:2">
      <c r="A68">
        <v>13077615</v>
      </c>
      <c r="B68" t="s">
        <v>88</v>
      </c>
    </row>
    <row r="69" spans="1:2">
      <c r="A69">
        <v>15285567</v>
      </c>
      <c r="B69" t="s">
        <v>89</v>
      </c>
    </row>
    <row r="70" spans="1:2">
      <c r="A70">
        <v>15300709</v>
      </c>
      <c r="B70" t="s">
        <v>90</v>
      </c>
    </row>
    <row r="71" spans="1:2">
      <c r="A71">
        <v>12511667</v>
      </c>
      <c r="B71" t="s">
        <v>91</v>
      </c>
    </row>
    <row r="72" spans="1:2">
      <c r="A72">
        <v>14497246</v>
      </c>
      <c r="B72" t="s">
        <v>92</v>
      </c>
    </row>
    <row r="73" spans="1:2">
      <c r="A73">
        <v>14002940</v>
      </c>
      <c r="B73" t="s">
        <v>93</v>
      </c>
    </row>
    <row r="74" spans="1:2">
      <c r="A74">
        <v>14833122</v>
      </c>
      <c r="B74" t="s">
        <v>94</v>
      </c>
    </row>
    <row r="75" spans="1:2">
      <c r="A75">
        <v>14627600</v>
      </c>
      <c r="B75" t="s">
        <v>95</v>
      </c>
    </row>
    <row r="76" spans="1:2">
      <c r="A76">
        <v>11222780</v>
      </c>
      <c r="B76" t="s">
        <v>96</v>
      </c>
    </row>
    <row r="77" spans="1:2">
      <c r="A77">
        <v>101872</v>
      </c>
      <c r="B77" t="s">
        <v>97</v>
      </c>
    </row>
    <row r="78" spans="1:2">
      <c r="A78">
        <v>14400542</v>
      </c>
      <c r="B78" t="s">
        <v>98</v>
      </c>
    </row>
    <row r="79" spans="1:2">
      <c r="A79">
        <v>14817564</v>
      </c>
      <c r="B79" t="s">
        <v>99</v>
      </c>
    </row>
    <row r="80" spans="1:2">
      <c r="A80">
        <v>14697372</v>
      </c>
      <c r="B80" t="s">
        <v>100</v>
      </c>
    </row>
    <row r="81" spans="1:2">
      <c r="A81">
        <v>15145993</v>
      </c>
      <c r="B81" t="s">
        <v>101</v>
      </c>
    </row>
    <row r="82" spans="1:2">
      <c r="A82">
        <v>301247</v>
      </c>
      <c r="B82" t="s">
        <v>102</v>
      </c>
    </row>
    <row r="83" spans="1:2">
      <c r="A83">
        <v>12959677</v>
      </c>
      <c r="B83" t="s">
        <v>103</v>
      </c>
    </row>
    <row r="84" spans="1:2">
      <c r="A84">
        <v>12343784</v>
      </c>
      <c r="B84" t="s">
        <v>104</v>
      </c>
    </row>
    <row r="85" spans="1:2">
      <c r="A85">
        <v>13391415</v>
      </c>
      <c r="B85" t="s">
        <v>105</v>
      </c>
    </row>
    <row r="86" spans="1:2">
      <c r="A86">
        <v>11011248</v>
      </c>
      <c r="B86" t="s">
        <v>106</v>
      </c>
    </row>
    <row r="87" spans="1:2">
      <c r="A87">
        <v>14821642</v>
      </c>
      <c r="B87" t="s">
        <v>107</v>
      </c>
    </row>
    <row r="88" spans="1:2">
      <c r="A88">
        <v>15151281</v>
      </c>
      <c r="B88" t="s">
        <v>108</v>
      </c>
    </row>
    <row r="89" spans="1:2">
      <c r="A89">
        <v>12792609</v>
      </c>
      <c r="B89" t="s">
        <v>109</v>
      </c>
    </row>
    <row r="90" spans="1:2">
      <c r="A90">
        <v>13073814</v>
      </c>
      <c r="B90" t="s">
        <v>110</v>
      </c>
    </row>
    <row r="91" spans="1:2">
      <c r="A91">
        <v>13809577</v>
      </c>
      <c r="B91" t="s">
        <v>111</v>
      </c>
    </row>
    <row r="92" spans="1:2">
      <c r="A92">
        <v>13010338</v>
      </c>
      <c r="B92" t="s">
        <v>112</v>
      </c>
    </row>
    <row r="93" spans="1:2">
      <c r="A93">
        <v>14417785</v>
      </c>
      <c r="B93" t="s">
        <v>113</v>
      </c>
    </row>
    <row r="94" spans="1:2">
      <c r="A94">
        <v>14457374</v>
      </c>
      <c r="B94" t="s">
        <v>114</v>
      </c>
    </row>
    <row r="95" spans="1:2">
      <c r="A95">
        <v>12154903</v>
      </c>
      <c r="B95" t="s">
        <v>115</v>
      </c>
    </row>
    <row r="96" spans="1:2">
      <c r="A96">
        <v>13108373</v>
      </c>
      <c r="B96" t="s">
        <v>116</v>
      </c>
    </row>
    <row r="97" spans="1:2">
      <c r="A97">
        <v>11961807</v>
      </c>
      <c r="B97" t="s">
        <v>117</v>
      </c>
    </row>
    <row r="98" spans="1:2">
      <c r="A98">
        <v>22029</v>
      </c>
      <c r="B98" t="s">
        <v>118</v>
      </c>
    </row>
    <row r="99" spans="1:2">
      <c r="A99">
        <v>12197445</v>
      </c>
      <c r="B99" t="s">
        <v>119</v>
      </c>
    </row>
    <row r="100" spans="1:2">
      <c r="A100">
        <v>12963812</v>
      </c>
      <c r="B100" t="s">
        <v>120</v>
      </c>
    </row>
    <row r="101" spans="1:2">
      <c r="A101">
        <v>13180401</v>
      </c>
      <c r="B101" t="s">
        <v>121</v>
      </c>
    </row>
    <row r="102" spans="1:2">
      <c r="A102">
        <v>12947940</v>
      </c>
      <c r="B102" t="s">
        <v>122</v>
      </c>
    </row>
    <row r="103" spans="1:2">
      <c r="A103">
        <v>12587687</v>
      </c>
      <c r="B103" t="s">
        <v>123</v>
      </c>
    </row>
    <row r="104" spans="1:2">
      <c r="A104">
        <v>15047853</v>
      </c>
      <c r="B104" t="s">
        <v>124</v>
      </c>
    </row>
    <row r="105" spans="1:2">
      <c r="A105">
        <v>14286599</v>
      </c>
      <c r="B105" t="s">
        <v>125</v>
      </c>
    </row>
    <row r="106" spans="1:2">
      <c r="A106">
        <v>13952480</v>
      </c>
      <c r="B106" t="s">
        <v>126</v>
      </c>
    </row>
    <row r="107" spans="1:2">
      <c r="A107">
        <v>11585642</v>
      </c>
      <c r="B107" t="s">
        <v>127</v>
      </c>
    </row>
    <row r="108" spans="1:2">
      <c r="A108">
        <v>14428621</v>
      </c>
      <c r="B108" t="s">
        <v>128</v>
      </c>
    </row>
    <row r="109" spans="1:2">
      <c r="A109">
        <v>13398110</v>
      </c>
      <c r="B109" t="s">
        <v>129</v>
      </c>
    </row>
    <row r="110" spans="1:2">
      <c r="A110">
        <v>335375</v>
      </c>
      <c r="B110" t="s">
        <v>130</v>
      </c>
    </row>
    <row r="111" spans="1:2">
      <c r="A111">
        <v>11363626</v>
      </c>
      <c r="B111" t="s">
        <v>131</v>
      </c>
    </row>
    <row r="112" spans="1:2">
      <c r="A112">
        <v>14980381</v>
      </c>
      <c r="B112" t="s">
        <v>132</v>
      </c>
    </row>
    <row r="113" spans="1:2">
      <c r="A113">
        <v>12180383</v>
      </c>
      <c r="B113" t="s">
        <v>133</v>
      </c>
    </row>
    <row r="114" spans="1:2">
      <c r="A114">
        <v>14346882</v>
      </c>
      <c r="B114" t="s">
        <v>134</v>
      </c>
    </row>
    <row r="115" spans="1:2">
      <c r="A115">
        <v>13203525</v>
      </c>
      <c r="B115" t="s">
        <v>135</v>
      </c>
    </row>
    <row r="116" spans="1:2">
      <c r="A116">
        <v>15383727</v>
      </c>
      <c r="B116" t="s">
        <v>136</v>
      </c>
    </row>
    <row r="117" spans="1:2">
      <c r="A117">
        <v>334598</v>
      </c>
      <c r="B117" t="s">
        <v>137</v>
      </c>
    </row>
    <row r="118" spans="1:2">
      <c r="A118">
        <v>12131721</v>
      </c>
      <c r="B118" t="s">
        <v>138</v>
      </c>
    </row>
    <row r="119" spans="1:2">
      <c r="A119">
        <v>13583001</v>
      </c>
      <c r="B119" t="s">
        <v>139</v>
      </c>
    </row>
    <row r="120" spans="1:2">
      <c r="A120">
        <v>15046322</v>
      </c>
      <c r="B120" t="s">
        <v>140</v>
      </c>
    </row>
    <row r="121" spans="1:2">
      <c r="A121">
        <v>294868</v>
      </c>
      <c r="B121" t="s">
        <v>141</v>
      </c>
    </row>
    <row r="122" spans="1:2">
      <c r="A122">
        <v>13409851</v>
      </c>
      <c r="B122" t="s">
        <v>142</v>
      </c>
    </row>
    <row r="123" spans="1:2">
      <c r="A123">
        <v>12803540</v>
      </c>
      <c r="B123" t="s">
        <v>143</v>
      </c>
    </row>
    <row r="124" spans="1:2">
      <c r="A124">
        <v>14620342</v>
      </c>
      <c r="B124" t="s">
        <v>144</v>
      </c>
    </row>
    <row r="125" spans="1:2">
      <c r="A125">
        <v>15090454</v>
      </c>
      <c r="B125" t="s">
        <v>145</v>
      </c>
    </row>
    <row r="126" spans="1:2">
      <c r="A126">
        <v>12894113</v>
      </c>
      <c r="B126" t="s">
        <v>146</v>
      </c>
    </row>
    <row r="127" spans="1:2">
      <c r="A127">
        <v>15096053</v>
      </c>
      <c r="B127" t="s">
        <v>147</v>
      </c>
    </row>
    <row r="128" spans="1:2">
      <c r="A128">
        <v>12731826</v>
      </c>
      <c r="B128" t="s">
        <v>148</v>
      </c>
    </row>
    <row r="129" spans="1:2">
      <c r="A129">
        <v>14096451</v>
      </c>
      <c r="B129" t="s">
        <v>149</v>
      </c>
    </row>
    <row r="130" spans="1:2">
      <c r="A130">
        <v>12031252</v>
      </c>
      <c r="B130" t="s">
        <v>15</v>
      </c>
    </row>
    <row r="131" spans="1:2">
      <c r="A131">
        <v>12013804</v>
      </c>
      <c r="B131" t="s">
        <v>150</v>
      </c>
    </row>
    <row r="132" spans="1:2">
      <c r="A132">
        <v>14133456</v>
      </c>
      <c r="B132" t="s">
        <v>1090</v>
      </c>
    </row>
    <row r="133" spans="1:2">
      <c r="A133">
        <v>12359505</v>
      </c>
      <c r="B133" t="s">
        <v>151</v>
      </c>
    </row>
    <row r="134" spans="1:2">
      <c r="A134">
        <v>11376324</v>
      </c>
      <c r="B134" t="s">
        <v>152</v>
      </c>
    </row>
    <row r="135" spans="1:2">
      <c r="A135">
        <v>13217113</v>
      </c>
      <c r="B135" t="s">
        <v>153</v>
      </c>
    </row>
    <row r="136" spans="1:2">
      <c r="A136">
        <v>13872716</v>
      </c>
      <c r="B136" t="s">
        <v>154</v>
      </c>
    </row>
    <row r="137" spans="1:2">
      <c r="A137">
        <v>14562463</v>
      </c>
      <c r="B137" t="s">
        <v>155</v>
      </c>
    </row>
    <row r="138" spans="1:2">
      <c r="A138">
        <v>15088729</v>
      </c>
      <c r="B138" t="s">
        <v>156</v>
      </c>
    </row>
    <row r="139" spans="1:2">
      <c r="A139">
        <v>14672050</v>
      </c>
      <c r="B139" t="s">
        <v>157</v>
      </c>
    </row>
    <row r="140" spans="1:2">
      <c r="A140">
        <v>14889836</v>
      </c>
      <c r="B140" t="s">
        <v>158</v>
      </c>
    </row>
    <row r="141" spans="1:2">
      <c r="A141">
        <v>289176</v>
      </c>
      <c r="B141" t="s">
        <v>159</v>
      </c>
    </row>
    <row r="142" spans="1:2">
      <c r="A142">
        <v>13172014</v>
      </c>
      <c r="B142" t="s">
        <v>160</v>
      </c>
    </row>
    <row r="143" spans="1:2">
      <c r="A143">
        <v>13837546</v>
      </c>
      <c r="B143" t="s">
        <v>161</v>
      </c>
    </row>
    <row r="144" spans="1:2">
      <c r="A144">
        <v>14810271</v>
      </c>
      <c r="B144" t="s">
        <v>162</v>
      </c>
    </row>
    <row r="145" spans="1:2">
      <c r="A145">
        <v>12272742</v>
      </c>
      <c r="B145" t="s">
        <v>163</v>
      </c>
    </row>
    <row r="146" spans="1:2">
      <c r="A146">
        <v>11253884</v>
      </c>
      <c r="B146" t="s">
        <v>164</v>
      </c>
    </row>
    <row r="147" spans="1:2">
      <c r="A147">
        <v>12711800</v>
      </c>
      <c r="B147" t="s">
        <v>165</v>
      </c>
    </row>
    <row r="148" spans="1:2">
      <c r="A148">
        <v>12252091</v>
      </c>
      <c r="B148" t="s">
        <v>166</v>
      </c>
    </row>
    <row r="149" spans="1:2">
      <c r="A149">
        <v>12657702</v>
      </c>
      <c r="B149" t="s">
        <v>167</v>
      </c>
    </row>
    <row r="150" spans="1:2">
      <c r="A150">
        <v>253133</v>
      </c>
      <c r="B150" t="s">
        <v>168</v>
      </c>
    </row>
    <row r="151" spans="1:2">
      <c r="A151">
        <v>13010778</v>
      </c>
      <c r="B151" t="s">
        <v>169</v>
      </c>
    </row>
    <row r="152" spans="1:2">
      <c r="A152">
        <v>12603280</v>
      </c>
      <c r="B152" t="s">
        <v>170</v>
      </c>
    </row>
    <row r="153" spans="1:2">
      <c r="A153">
        <v>13578424</v>
      </c>
      <c r="B153" t="s">
        <v>171</v>
      </c>
    </row>
    <row r="154" spans="1:2">
      <c r="A154">
        <v>14846274</v>
      </c>
      <c r="B154" t="s">
        <v>172</v>
      </c>
    </row>
    <row r="155" spans="1:2">
      <c r="A155">
        <v>11786619</v>
      </c>
      <c r="B155" t="s">
        <v>173</v>
      </c>
    </row>
    <row r="156" spans="1:2">
      <c r="A156">
        <v>12724805</v>
      </c>
      <c r="B156" t="s">
        <v>174</v>
      </c>
    </row>
    <row r="157" spans="1:2">
      <c r="A157">
        <v>12860045</v>
      </c>
      <c r="B157" t="s">
        <v>175</v>
      </c>
    </row>
    <row r="158" spans="1:2">
      <c r="A158">
        <v>14494731</v>
      </c>
      <c r="B158" t="s">
        <v>176</v>
      </c>
    </row>
    <row r="159" spans="1:2">
      <c r="A159">
        <v>13577899</v>
      </c>
      <c r="B159" t="s">
        <v>177</v>
      </c>
    </row>
    <row r="160" spans="1:2">
      <c r="A160">
        <v>13607221</v>
      </c>
      <c r="B160" t="s">
        <v>178</v>
      </c>
    </row>
    <row r="161" spans="1:2">
      <c r="A161">
        <v>13575716</v>
      </c>
      <c r="B161" t="s">
        <v>179</v>
      </c>
    </row>
    <row r="162" spans="1:2">
      <c r="A162">
        <v>12030318</v>
      </c>
      <c r="B162" t="s">
        <v>180</v>
      </c>
    </row>
    <row r="163" spans="1:2">
      <c r="A163">
        <v>12006472</v>
      </c>
      <c r="B163" t="s">
        <v>181</v>
      </c>
    </row>
    <row r="164" spans="1:2">
      <c r="A164">
        <v>12905977</v>
      </c>
      <c r="B164" t="s">
        <v>182</v>
      </c>
    </row>
    <row r="165" spans="1:2">
      <c r="A165">
        <v>11257510</v>
      </c>
      <c r="B165" t="s">
        <v>183</v>
      </c>
    </row>
    <row r="166" spans="1:2">
      <c r="A166">
        <v>14338393</v>
      </c>
      <c r="B166" t="s">
        <v>184</v>
      </c>
    </row>
    <row r="167" spans="1:2">
      <c r="A167">
        <v>12655284</v>
      </c>
      <c r="B167" t="s">
        <v>185</v>
      </c>
    </row>
    <row r="168" spans="1:2">
      <c r="A168">
        <v>14722049</v>
      </c>
      <c r="B168" t="s">
        <v>186</v>
      </c>
    </row>
    <row r="169" spans="1:2">
      <c r="A169">
        <v>12730876</v>
      </c>
      <c r="B169" t="s">
        <v>187</v>
      </c>
    </row>
    <row r="170" spans="1:2">
      <c r="A170">
        <v>14265354</v>
      </c>
      <c r="B170" t="s">
        <v>188</v>
      </c>
    </row>
    <row r="171" spans="1:2">
      <c r="A171">
        <v>14386606</v>
      </c>
      <c r="B171" t="s">
        <v>189</v>
      </c>
    </row>
    <row r="172" spans="1:2">
      <c r="A172">
        <v>14076488</v>
      </c>
      <c r="B172" t="s">
        <v>190</v>
      </c>
    </row>
    <row r="173" spans="1:2">
      <c r="A173">
        <v>14310205</v>
      </c>
      <c r="B173" t="s">
        <v>191</v>
      </c>
    </row>
    <row r="174" spans="1:2">
      <c r="A174">
        <v>14843754</v>
      </c>
      <c r="B174" t="s">
        <v>192</v>
      </c>
    </row>
    <row r="175" spans="1:2">
      <c r="A175">
        <v>13915857</v>
      </c>
      <c r="B175" t="s">
        <v>193</v>
      </c>
    </row>
    <row r="176" spans="1:2">
      <c r="A176">
        <v>14213774</v>
      </c>
      <c r="B176" t="s">
        <v>194</v>
      </c>
    </row>
    <row r="177" spans="1:2">
      <c r="A177">
        <v>15323939</v>
      </c>
      <c r="B177" t="s">
        <v>195</v>
      </c>
    </row>
    <row r="178" spans="1:2">
      <c r="A178">
        <v>13657790</v>
      </c>
      <c r="B178" t="s">
        <v>196</v>
      </c>
    </row>
    <row r="179" spans="1:2">
      <c r="A179">
        <v>14087155</v>
      </c>
      <c r="B179" t="s">
        <v>197</v>
      </c>
    </row>
    <row r="180" spans="1:2">
      <c r="A180">
        <v>14351870</v>
      </c>
      <c r="B180" t="s">
        <v>198</v>
      </c>
    </row>
    <row r="181" spans="1:2">
      <c r="A181">
        <v>14615563</v>
      </c>
      <c r="B181" t="s">
        <v>199</v>
      </c>
    </row>
    <row r="182" spans="1:2">
      <c r="A182">
        <v>13661234</v>
      </c>
      <c r="B182" t="s">
        <v>200</v>
      </c>
    </row>
    <row r="183" spans="1:2">
      <c r="A183">
        <v>14613780</v>
      </c>
      <c r="B183" t="s">
        <v>201</v>
      </c>
    </row>
    <row r="184" spans="1:2">
      <c r="A184">
        <v>15344004</v>
      </c>
      <c r="B184" t="s">
        <v>202</v>
      </c>
    </row>
    <row r="185" spans="1:2">
      <c r="A185">
        <v>14206182</v>
      </c>
      <c r="B185" t="s">
        <v>203</v>
      </c>
    </row>
    <row r="186" spans="1:2">
      <c r="A186">
        <v>334980</v>
      </c>
      <c r="B186" t="s">
        <v>204</v>
      </c>
    </row>
    <row r="187" spans="1:2">
      <c r="A187">
        <v>12306876</v>
      </c>
      <c r="B187" t="s">
        <v>205</v>
      </c>
    </row>
    <row r="188" spans="1:2">
      <c r="A188">
        <v>15294379</v>
      </c>
      <c r="B188" t="s">
        <v>206</v>
      </c>
    </row>
    <row r="189" spans="1:2">
      <c r="A189">
        <v>14817189</v>
      </c>
      <c r="B189" t="s">
        <v>207</v>
      </c>
    </row>
    <row r="190" spans="1:2">
      <c r="A190">
        <v>14148357</v>
      </c>
      <c r="B190" t="s">
        <v>208</v>
      </c>
    </row>
    <row r="191" spans="1:2">
      <c r="A191">
        <v>12397930</v>
      </c>
      <c r="B191" t="s">
        <v>209</v>
      </c>
    </row>
    <row r="192" spans="1:2">
      <c r="A192">
        <v>11444584</v>
      </c>
      <c r="B192" t="s">
        <v>210</v>
      </c>
    </row>
    <row r="193" spans="1:2">
      <c r="A193">
        <v>13542221</v>
      </c>
      <c r="B193" t="s">
        <v>211</v>
      </c>
    </row>
    <row r="194" spans="1:2">
      <c r="A194">
        <v>12131486</v>
      </c>
      <c r="B194" t="s">
        <v>212</v>
      </c>
    </row>
    <row r="195" spans="1:2">
      <c r="A195">
        <v>14944323</v>
      </c>
      <c r="B195" t="s">
        <v>213</v>
      </c>
    </row>
    <row r="196" spans="1:2">
      <c r="A196">
        <v>13839995</v>
      </c>
      <c r="B196" t="s">
        <v>214</v>
      </c>
    </row>
    <row r="197" spans="1:2">
      <c r="A197">
        <v>12088288</v>
      </c>
      <c r="B197" t="s">
        <v>215</v>
      </c>
    </row>
    <row r="198" spans="1:2">
      <c r="A198">
        <v>12016693</v>
      </c>
      <c r="B198" t="s">
        <v>216</v>
      </c>
    </row>
    <row r="199" spans="1:2">
      <c r="A199">
        <v>11068227</v>
      </c>
      <c r="B199" t="s">
        <v>217</v>
      </c>
    </row>
    <row r="200" spans="1:2">
      <c r="A200">
        <v>11477218</v>
      </c>
      <c r="B200" t="s">
        <v>218</v>
      </c>
    </row>
    <row r="201" spans="1:2">
      <c r="A201">
        <v>12089015</v>
      </c>
      <c r="B201" t="s">
        <v>219</v>
      </c>
    </row>
    <row r="202" spans="1:2">
      <c r="A202">
        <v>11591983</v>
      </c>
      <c r="B202" t="s">
        <v>220</v>
      </c>
    </row>
    <row r="203" spans="1:2">
      <c r="A203">
        <v>12676092</v>
      </c>
      <c r="B203" t="s">
        <v>221</v>
      </c>
    </row>
    <row r="204" spans="1:2">
      <c r="A204">
        <v>12303926</v>
      </c>
      <c r="B204" t="s">
        <v>222</v>
      </c>
    </row>
    <row r="205" spans="1:2">
      <c r="A205">
        <v>11784038</v>
      </c>
      <c r="B205" t="s">
        <v>223</v>
      </c>
    </row>
    <row r="206" spans="1:2">
      <c r="A206">
        <v>298519</v>
      </c>
      <c r="B206" t="s">
        <v>224</v>
      </c>
    </row>
    <row r="207" spans="1:2">
      <c r="A207">
        <v>14895038</v>
      </c>
      <c r="B207" t="s">
        <v>225</v>
      </c>
    </row>
    <row r="208" spans="1:2">
      <c r="A208">
        <v>13971280</v>
      </c>
      <c r="B208" t="s">
        <v>226</v>
      </c>
    </row>
    <row r="209" spans="1:2">
      <c r="A209">
        <v>13009874</v>
      </c>
      <c r="B209" t="s">
        <v>227</v>
      </c>
    </row>
    <row r="210" spans="1:2">
      <c r="A210">
        <v>14282851</v>
      </c>
      <c r="B210" t="s">
        <v>228</v>
      </c>
    </row>
    <row r="211" spans="1:2">
      <c r="A211">
        <v>14240740</v>
      </c>
      <c r="B211" t="s">
        <v>229</v>
      </c>
    </row>
    <row r="212" spans="1:2">
      <c r="A212">
        <v>12955381</v>
      </c>
      <c r="B212" t="s">
        <v>230</v>
      </c>
    </row>
    <row r="213" spans="1:2">
      <c r="A213">
        <v>14049590</v>
      </c>
      <c r="B213" t="s">
        <v>231</v>
      </c>
    </row>
    <row r="214" spans="1:2">
      <c r="A214">
        <v>11362234</v>
      </c>
      <c r="B214" t="s">
        <v>232</v>
      </c>
    </row>
    <row r="215" spans="1:2">
      <c r="A215">
        <v>11302589</v>
      </c>
      <c r="B215" t="s">
        <v>233</v>
      </c>
    </row>
    <row r="216" spans="1:2">
      <c r="A216">
        <v>13332810</v>
      </c>
      <c r="B216" t="s">
        <v>234</v>
      </c>
    </row>
    <row r="217" spans="1:2">
      <c r="A217">
        <v>13885992</v>
      </c>
      <c r="B217" t="s">
        <v>235</v>
      </c>
    </row>
    <row r="218" spans="1:2">
      <c r="A218">
        <v>71239</v>
      </c>
      <c r="B218" t="s">
        <v>236</v>
      </c>
    </row>
    <row r="219" spans="1:2">
      <c r="A219">
        <v>12396130</v>
      </c>
      <c r="B219" t="s">
        <v>237</v>
      </c>
    </row>
    <row r="220" spans="1:2">
      <c r="A220">
        <v>14485259</v>
      </c>
      <c r="B220" t="s">
        <v>238</v>
      </c>
    </row>
    <row r="221" spans="1:2">
      <c r="A221">
        <v>12808064</v>
      </c>
      <c r="B221" t="s">
        <v>239</v>
      </c>
    </row>
    <row r="222" spans="1:2">
      <c r="A222">
        <v>13322811</v>
      </c>
      <c r="B222" t="s">
        <v>240</v>
      </c>
    </row>
    <row r="223" spans="1:2">
      <c r="A223">
        <v>13122409</v>
      </c>
      <c r="B223" t="s">
        <v>241</v>
      </c>
    </row>
    <row r="224" spans="1:2">
      <c r="A224">
        <v>13227598</v>
      </c>
      <c r="B224" t="s">
        <v>242</v>
      </c>
    </row>
    <row r="225" spans="1:2">
      <c r="A225">
        <v>14749145</v>
      </c>
      <c r="B225" t="s">
        <v>243</v>
      </c>
    </row>
    <row r="226" spans="1:2">
      <c r="A226">
        <v>14508680</v>
      </c>
      <c r="B226" t="s">
        <v>244</v>
      </c>
    </row>
    <row r="227" spans="1:2">
      <c r="A227">
        <v>14345327</v>
      </c>
      <c r="B227" t="s">
        <v>245</v>
      </c>
    </row>
    <row r="228" spans="1:2">
      <c r="A228">
        <v>13801003</v>
      </c>
      <c r="B228" t="s">
        <v>1091</v>
      </c>
    </row>
    <row r="229" spans="1:2">
      <c r="A229">
        <v>12791886</v>
      </c>
      <c r="B229" t="s">
        <v>246</v>
      </c>
    </row>
    <row r="230" spans="1:2">
      <c r="A230">
        <v>14785822</v>
      </c>
      <c r="B230" t="s">
        <v>247</v>
      </c>
    </row>
    <row r="231" spans="1:2">
      <c r="A231">
        <v>12660041</v>
      </c>
      <c r="B231" t="s">
        <v>248</v>
      </c>
    </row>
    <row r="232" spans="1:2">
      <c r="A232">
        <v>12284907</v>
      </c>
      <c r="B232" t="s">
        <v>249</v>
      </c>
    </row>
    <row r="233" spans="1:2">
      <c r="A233">
        <v>13307132</v>
      </c>
      <c r="B233" t="s">
        <v>250</v>
      </c>
    </row>
    <row r="234" spans="1:2">
      <c r="A234">
        <v>13082870</v>
      </c>
      <c r="B234" t="s">
        <v>251</v>
      </c>
    </row>
    <row r="235" spans="1:2">
      <c r="A235">
        <v>12148581</v>
      </c>
      <c r="B235" t="s">
        <v>252</v>
      </c>
    </row>
    <row r="236" spans="1:2">
      <c r="A236">
        <v>11172412</v>
      </c>
      <c r="B236" t="s">
        <v>253</v>
      </c>
    </row>
    <row r="237" spans="1:2">
      <c r="A237">
        <v>13396670</v>
      </c>
      <c r="B237" t="s">
        <v>254</v>
      </c>
    </row>
    <row r="238" spans="1:2">
      <c r="A238">
        <v>13395220</v>
      </c>
      <c r="B238" t="s">
        <v>255</v>
      </c>
    </row>
    <row r="239" spans="1:2">
      <c r="A239">
        <v>11915558</v>
      </c>
      <c r="B239" t="s">
        <v>256</v>
      </c>
    </row>
    <row r="240" spans="1:2">
      <c r="A240">
        <v>12199639</v>
      </c>
      <c r="B240" t="s">
        <v>257</v>
      </c>
    </row>
    <row r="241" spans="1:2">
      <c r="A241">
        <v>13844691</v>
      </c>
      <c r="B241" t="s">
        <v>258</v>
      </c>
    </row>
    <row r="242" spans="1:2">
      <c r="A242">
        <v>13640741</v>
      </c>
      <c r="B242" t="s">
        <v>259</v>
      </c>
    </row>
    <row r="243" spans="1:2">
      <c r="A243">
        <v>13277272</v>
      </c>
      <c r="B243" t="s">
        <v>260</v>
      </c>
    </row>
    <row r="244" spans="1:2">
      <c r="A244">
        <v>11522369</v>
      </c>
      <c r="B244" t="s">
        <v>261</v>
      </c>
    </row>
    <row r="245" spans="1:2">
      <c r="A245">
        <v>51070</v>
      </c>
      <c r="B245" t="s">
        <v>262</v>
      </c>
    </row>
    <row r="246" spans="1:2">
      <c r="A246">
        <v>11434318</v>
      </c>
      <c r="B246" t="s">
        <v>263</v>
      </c>
    </row>
    <row r="247" spans="1:2">
      <c r="A247">
        <v>13726189</v>
      </c>
      <c r="B247" t="s">
        <v>264</v>
      </c>
    </row>
    <row r="248" spans="1:2">
      <c r="A248">
        <v>14041697</v>
      </c>
      <c r="B248" t="s">
        <v>265</v>
      </c>
    </row>
    <row r="249" spans="1:2">
      <c r="A249">
        <v>14791046</v>
      </c>
      <c r="B249" t="s">
        <v>266</v>
      </c>
    </row>
    <row r="250" spans="1:2">
      <c r="A250">
        <v>14100969</v>
      </c>
      <c r="B250" t="s">
        <v>267</v>
      </c>
    </row>
    <row r="251" spans="1:2">
      <c r="A251">
        <v>11762365</v>
      </c>
      <c r="B251" t="s">
        <v>1092</v>
      </c>
    </row>
    <row r="252" spans="1:2">
      <c r="A252">
        <v>13483189</v>
      </c>
      <c r="B252" t="s">
        <v>268</v>
      </c>
    </row>
    <row r="253" spans="1:2">
      <c r="A253">
        <v>333169</v>
      </c>
      <c r="B253" t="s">
        <v>269</v>
      </c>
    </row>
    <row r="254" spans="1:2">
      <c r="A254">
        <v>14870634</v>
      </c>
      <c r="B254" t="s">
        <v>270</v>
      </c>
    </row>
    <row r="255" spans="1:2">
      <c r="A255">
        <v>15062852</v>
      </c>
      <c r="B255" t="s">
        <v>271</v>
      </c>
    </row>
    <row r="256" spans="1:2">
      <c r="A256">
        <v>14092810</v>
      </c>
      <c r="B256" t="s">
        <v>272</v>
      </c>
    </row>
    <row r="257" spans="1:2">
      <c r="A257">
        <v>14798611</v>
      </c>
      <c r="B257" t="s">
        <v>273</v>
      </c>
    </row>
    <row r="258" spans="1:2">
      <c r="A258">
        <v>11842365</v>
      </c>
      <c r="B258" t="s">
        <v>274</v>
      </c>
    </row>
    <row r="259" spans="1:2">
      <c r="A259">
        <v>14995272</v>
      </c>
      <c r="B259" t="s">
        <v>275</v>
      </c>
    </row>
    <row r="260" spans="1:2">
      <c r="A260">
        <v>14384212</v>
      </c>
      <c r="B260" t="s">
        <v>276</v>
      </c>
    </row>
    <row r="261" spans="1:2">
      <c r="A261">
        <v>13942538</v>
      </c>
      <c r="B261" t="s">
        <v>277</v>
      </c>
    </row>
    <row r="262" spans="1:2">
      <c r="A262">
        <v>13984224</v>
      </c>
      <c r="B262" t="s">
        <v>278</v>
      </c>
    </row>
    <row r="263" spans="1:2">
      <c r="A263">
        <v>12353339</v>
      </c>
      <c r="B263" t="s">
        <v>279</v>
      </c>
    </row>
    <row r="264" spans="1:2">
      <c r="A264">
        <v>14372986</v>
      </c>
      <c r="B264" t="s">
        <v>280</v>
      </c>
    </row>
    <row r="265" spans="1:2">
      <c r="A265">
        <v>14548732</v>
      </c>
      <c r="B265" t="s">
        <v>281</v>
      </c>
    </row>
    <row r="266" spans="1:2">
      <c r="A266">
        <v>325223</v>
      </c>
      <c r="B266" t="s">
        <v>282</v>
      </c>
    </row>
    <row r="267" spans="1:2">
      <c r="A267">
        <v>12161524</v>
      </c>
      <c r="B267" t="s">
        <v>283</v>
      </c>
    </row>
    <row r="268" spans="1:2">
      <c r="A268">
        <v>12917775</v>
      </c>
      <c r="B268" t="s">
        <v>284</v>
      </c>
    </row>
    <row r="269" spans="1:2">
      <c r="A269">
        <v>14334497</v>
      </c>
      <c r="B269" t="s">
        <v>285</v>
      </c>
    </row>
    <row r="270" spans="1:2">
      <c r="A270">
        <v>14038047</v>
      </c>
      <c r="B270" t="s">
        <v>286</v>
      </c>
    </row>
    <row r="271" spans="1:2">
      <c r="A271">
        <v>13049527</v>
      </c>
      <c r="B271" t="s">
        <v>287</v>
      </c>
    </row>
    <row r="272" spans="1:2">
      <c r="A272">
        <v>14373310</v>
      </c>
      <c r="B272" t="s">
        <v>288</v>
      </c>
    </row>
    <row r="273" spans="1:2">
      <c r="A273">
        <v>14823645</v>
      </c>
      <c r="B273" t="s">
        <v>289</v>
      </c>
    </row>
    <row r="274" spans="1:2">
      <c r="A274">
        <v>13674942</v>
      </c>
      <c r="B274" t="s">
        <v>290</v>
      </c>
    </row>
    <row r="275" spans="1:2">
      <c r="A275">
        <v>11987692</v>
      </c>
      <c r="B275" t="s">
        <v>291</v>
      </c>
    </row>
    <row r="276" spans="1:2">
      <c r="A276">
        <v>12448865</v>
      </c>
      <c r="B276" t="s">
        <v>292</v>
      </c>
    </row>
    <row r="277" spans="1:2">
      <c r="A277">
        <v>13597935</v>
      </c>
      <c r="B277" t="s">
        <v>293</v>
      </c>
    </row>
    <row r="278" spans="1:2">
      <c r="A278">
        <v>13271519</v>
      </c>
      <c r="B278" t="s">
        <v>294</v>
      </c>
    </row>
    <row r="279" spans="1:2">
      <c r="A279">
        <v>12695517</v>
      </c>
      <c r="B279" t="s">
        <v>295</v>
      </c>
    </row>
    <row r="280" spans="1:2">
      <c r="A280">
        <v>102123</v>
      </c>
      <c r="B280" t="s">
        <v>296</v>
      </c>
    </row>
    <row r="281" spans="1:2">
      <c r="A281">
        <v>14263037</v>
      </c>
      <c r="B281" t="s">
        <v>297</v>
      </c>
    </row>
    <row r="282" spans="1:2">
      <c r="A282">
        <v>14619663</v>
      </c>
      <c r="B282" t="s">
        <v>298</v>
      </c>
    </row>
    <row r="283" spans="1:2">
      <c r="A283">
        <v>13854403</v>
      </c>
      <c r="B283" t="s">
        <v>299</v>
      </c>
    </row>
    <row r="284" spans="1:2">
      <c r="A284">
        <v>15013794</v>
      </c>
      <c r="B284" t="s">
        <v>300</v>
      </c>
    </row>
    <row r="285" spans="1:2">
      <c r="A285">
        <v>13011309</v>
      </c>
      <c r="B285" t="s">
        <v>301</v>
      </c>
    </row>
    <row r="286" spans="1:2">
      <c r="A286">
        <v>13245485</v>
      </c>
      <c r="B286" t="s">
        <v>302</v>
      </c>
    </row>
    <row r="287" spans="1:2">
      <c r="A287">
        <v>14632374</v>
      </c>
      <c r="B287" t="s">
        <v>303</v>
      </c>
    </row>
    <row r="288" spans="1:2">
      <c r="A288">
        <v>12921873</v>
      </c>
      <c r="B288" t="s">
        <v>304</v>
      </c>
    </row>
    <row r="289" spans="1:2">
      <c r="A289">
        <v>14847020</v>
      </c>
      <c r="B289" t="s">
        <v>305</v>
      </c>
    </row>
    <row r="290" spans="1:2">
      <c r="A290">
        <v>13759728</v>
      </c>
      <c r="B290" t="s">
        <v>306</v>
      </c>
    </row>
    <row r="291" spans="1:2">
      <c r="A291">
        <v>14699792</v>
      </c>
      <c r="B291" t="s">
        <v>307</v>
      </c>
    </row>
    <row r="292" spans="1:2">
      <c r="A292">
        <v>14081004</v>
      </c>
      <c r="B292" t="s">
        <v>308</v>
      </c>
    </row>
    <row r="293" spans="1:2">
      <c r="A293">
        <v>14869706</v>
      </c>
      <c r="B293" t="s">
        <v>309</v>
      </c>
    </row>
    <row r="294" spans="1:2">
      <c r="A294">
        <v>12794005</v>
      </c>
      <c r="B294" t="s">
        <v>310</v>
      </c>
    </row>
    <row r="295" spans="1:2">
      <c r="A295">
        <v>13561706</v>
      </c>
      <c r="B295" t="s">
        <v>311</v>
      </c>
    </row>
    <row r="296" spans="1:2">
      <c r="A296">
        <v>11041793</v>
      </c>
      <c r="B296" t="s">
        <v>312</v>
      </c>
    </row>
    <row r="297" spans="1:2">
      <c r="A297">
        <v>12395109</v>
      </c>
      <c r="B297" t="s">
        <v>313</v>
      </c>
    </row>
    <row r="298" spans="1:2">
      <c r="A298">
        <v>13963801</v>
      </c>
      <c r="B298" t="s">
        <v>314</v>
      </c>
    </row>
    <row r="299" spans="1:2">
      <c r="A299">
        <v>11874896</v>
      </c>
      <c r="B299" t="s">
        <v>315</v>
      </c>
    </row>
    <row r="300" spans="1:2">
      <c r="A300">
        <v>13238357</v>
      </c>
      <c r="B300" t="s">
        <v>316</v>
      </c>
    </row>
    <row r="301" spans="1:2">
      <c r="A301">
        <v>13118578</v>
      </c>
      <c r="B301" t="s">
        <v>317</v>
      </c>
    </row>
    <row r="302" spans="1:2">
      <c r="A302">
        <v>15207832</v>
      </c>
      <c r="B302" t="s">
        <v>318</v>
      </c>
    </row>
    <row r="303" spans="1:2">
      <c r="A303">
        <v>12939284</v>
      </c>
      <c r="B303" t="s">
        <v>319</v>
      </c>
    </row>
    <row r="304" spans="1:2">
      <c r="A304">
        <v>13215304</v>
      </c>
      <c r="B304" t="s">
        <v>320</v>
      </c>
    </row>
    <row r="305" spans="1:2">
      <c r="A305">
        <v>14557627</v>
      </c>
      <c r="B305" t="s">
        <v>321</v>
      </c>
    </row>
    <row r="306" spans="1:2">
      <c r="A306">
        <v>12175345</v>
      </c>
      <c r="B306" t="s">
        <v>322</v>
      </c>
    </row>
    <row r="307" spans="1:2">
      <c r="A307">
        <v>12135721</v>
      </c>
      <c r="B307" t="s">
        <v>323</v>
      </c>
    </row>
    <row r="308" spans="1:2">
      <c r="A308">
        <v>12676821</v>
      </c>
      <c r="B308" t="s">
        <v>324</v>
      </c>
    </row>
    <row r="309" spans="1:2">
      <c r="A309">
        <v>12622232</v>
      </c>
      <c r="B309" t="s">
        <v>325</v>
      </c>
    </row>
    <row r="310" spans="1:2">
      <c r="A310">
        <v>13079398</v>
      </c>
      <c r="B310" t="s">
        <v>326</v>
      </c>
    </row>
    <row r="311" spans="1:2">
      <c r="A311">
        <v>13993253</v>
      </c>
      <c r="B311" t="s">
        <v>327</v>
      </c>
    </row>
    <row r="312" spans="1:2">
      <c r="A312">
        <v>10757911</v>
      </c>
      <c r="B312" t="s">
        <v>328</v>
      </c>
    </row>
    <row r="313" spans="1:2">
      <c r="A313">
        <v>13946756</v>
      </c>
      <c r="B313" t="s">
        <v>329</v>
      </c>
    </row>
    <row r="314" spans="1:2">
      <c r="A314">
        <v>11306153</v>
      </c>
      <c r="B314" t="s">
        <v>330</v>
      </c>
    </row>
    <row r="315" spans="1:2">
      <c r="A315">
        <v>14111269</v>
      </c>
      <c r="B315" t="s">
        <v>331</v>
      </c>
    </row>
    <row r="316" spans="1:2">
      <c r="A316">
        <v>13087613</v>
      </c>
      <c r="B316" t="s">
        <v>332</v>
      </c>
    </row>
    <row r="317" spans="1:2">
      <c r="A317">
        <v>14048574</v>
      </c>
      <c r="B317" t="s">
        <v>333</v>
      </c>
    </row>
    <row r="318" spans="1:2">
      <c r="A318">
        <v>13498225</v>
      </c>
      <c r="B318" t="s">
        <v>1093</v>
      </c>
    </row>
    <row r="319" spans="1:2">
      <c r="A319">
        <v>13492636</v>
      </c>
      <c r="B319" t="s">
        <v>334</v>
      </c>
    </row>
    <row r="320" spans="1:2">
      <c r="A320">
        <v>12391625</v>
      </c>
      <c r="B320" t="s">
        <v>335</v>
      </c>
    </row>
    <row r="321" spans="1:2">
      <c r="A321">
        <v>14601829</v>
      </c>
      <c r="B321" t="s">
        <v>336</v>
      </c>
    </row>
    <row r="322" spans="1:2">
      <c r="A322">
        <v>13753839</v>
      </c>
      <c r="B322" t="s">
        <v>337</v>
      </c>
    </row>
    <row r="323" spans="1:2">
      <c r="A323">
        <v>13062510</v>
      </c>
      <c r="B323" t="s">
        <v>338</v>
      </c>
    </row>
    <row r="324" spans="1:2">
      <c r="A324">
        <v>12733386</v>
      </c>
      <c r="B324" t="s">
        <v>339</v>
      </c>
    </row>
    <row r="325" spans="1:2">
      <c r="A325">
        <v>14982901</v>
      </c>
      <c r="B325" t="s">
        <v>340</v>
      </c>
    </row>
    <row r="326" spans="1:2">
      <c r="A326">
        <v>12348304</v>
      </c>
      <c r="B326" t="s">
        <v>341</v>
      </c>
    </row>
    <row r="327" spans="1:2">
      <c r="A327">
        <v>12991044</v>
      </c>
      <c r="B327" t="s">
        <v>342</v>
      </c>
    </row>
    <row r="328" spans="1:2">
      <c r="A328">
        <v>12183725</v>
      </c>
      <c r="B328" t="s">
        <v>343</v>
      </c>
    </row>
    <row r="329" spans="1:2">
      <c r="A329">
        <v>14503598</v>
      </c>
      <c r="B329" t="s">
        <v>344</v>
      </c>
    </row>
    <row r="330" spans="1:2">
      <c r="A330">
        <v>13194279</v>
      </c>
      <c r="B330" t="s">
        <v>345</v>
      </c>
    </row>
    <row r="331" spans="1:2">
      <c r="A331">
        <v>264110</v>
      </c>
      <c r="B331" t="s">
        <v>346</v>
      </c>
    </row>
    <row r="332" spans="1:2">
      <c r="A332">
        <v>14773769</v>
      </c>
      <c r="B332" t="s">
        <v>347</v>
      </c>
    </row>
    <row r="333" spans="1:2">
      <c r="A333">
        <v>12351451</v>
      </c>
      <c r="B333" t="s">
        <v>348</v>
      </c>
    </row>
    <row r="334" spans="1:2">
      <c r="A334">
        <v>4949111</v>
      </c>
      <c r="B334" t="s">
        <v>1094</v>
      </c>
    </row>
    <row r="335" spans="1:2">
      <c r="A335">
        <v>14806063</v>
      </c>
      <c r="B335" t="s">
        <v>349</v>
      </c>
    </row>
    <row r="336" spans="1:2">
      <c r="A336">
        <v>13525189</v>
      </c>
      <c r="B336" t="s">
        <v>350</v>
      </c>
    </row>
    <row r="337" spans="1:2">
      <c r="A337">
        <v>13993670</v>
      </c>
      <c r="B337" t="s">
        <v>351</v>
      </c>
    </row>
    <row r="338" spans="1:2">
      <c r="A338">
        <v>12590246</v>
      </c>
      <c r="B338" t="s">
        <v>352</v>
      </c>
    </row>
    <row r="339" spans="1:2">
      <c r="A339">
        <v>260231</v>
      </c>
      <c r="B339" t="s">
        <v>353</v>
      </c>
    </row>
    <row r="340" spans="1:2">
      <c r="A340">
        <v>13046835</v>
      </c>
      <c r="B340" t="s">
        <v>354</v>
      </c>
    </row>
    <row r="341" spans="1:2">
      <c r="A341">
        <v>12122006</v>
      </c>
      <c r="B341" t="s">
        <v>355</v>
      </c>
    </row>
    <row r="342" spans="1:2">
      <c r="A342">
        <v>11638087</v>
      </c>
      <c r="B342" t="s">
        <v>356</v>
      </c>
    </row>
    <row r="343" spans="1:2">
      <c r="A343">
        <v>14763248</v>
      </c>
      <c r="B343" t="s">
        <v>357</v>
      </c>
    </row>
    <row r="344" spans="1:2">
      <c r="A344">
        <v>12862735</v>
      </c>
      <c r="B344" t="s">
        <v>358</v>
      </c>
    </row>
    <row r="345" spans="1:2">
      <c r="A345">
        <v>12315154</v>
      </c>
      <c r="B345" t="s">
        <v>359</v>
      </c>
    </row>
    <row r="346" spans="1:2">
      <c r="A346">
        <v>11647997</v>
      </c>
      <c r="B346" t="s">
        <v>360</v>
      </c>
    </row>
    <row r="347" spans="1:2">
      <c r="A347">
        <v>39582</v>
      </c>
      <c r="B347" t="s">
        <v>361</v>
      </c>
    </row>
    <row r="348" spans="1:2">
      <c r="A348">
        <v>13494272</v>
      </c>
      <c r="B348" t="s">
        <v>362</v>
      </c>
    </row>
    <row r="349" spans="1:2">
      <c r="A349">
        <v>13845130</v>
      </c>
      <c r="B349" t="s">
        <v>363</v>
      </c>
    </row>
    <row r="350" spans="1:2">
      <c r="A350">
        <v>12091850</v>
      </c>
      <c r="B350" t="s">
        <v>364</v>
      </c>
    </row>
    <row r="351" spans="1:2">
      <c r="A351">
        <v>11979834</v>
      </c>
      <c r="B351" t="s">
        <v>365</v>
      </c>
    </row>
    <row r="352" spans="1:2">
      <c r="A352">
        <v>12261983</v>
      </c>
      <c r="B352" t="s">
        <v>366</v>
      </c>
    </row>
    <row r="353" spans="1:2">
      <c r="A353">
        <v>11074864</v>
      </c>
      <c r="B353" t="s">
        <v>367</v>
      </c>
    </row>
    <row r="354" spans="1:2">
      <c r="A354">
        <v>15113957</v>
      </c>
      <c r="B354" t="s">
        <v>368</v>
      </c>
    </row>
    <row r="355" spans="1:2">
      <c r="A355">
        <v>11799304</v>
      </c>
      <c r="B355" t="s">
        <v>369</v>
      </c>
    </row>
    <row r="356" spans="1:2">
      <c r="A356">
        <v>14979968</v>
      </c>
      <c r="B356" t="s">
        <v>370</v>
      </c>
    </row>
    <row r="357" spans="1:2">
      <c r="A357">
        <v>213692</v>
      </c>
      <c r="B357" t="s">
        <v>371</v>
      </c>
    </row>
    <row r="358" spans="1:2">
      <c r="A358">
        <v>13702310</v>
      </c>
      <c r="B358" t="s">
        <v>372</v>
      </c>
    </row>
    <row r="359" spans="1:2">
      <c r="A359">
        <v>11512514</v>
      </c>
      <c r="B359" t="s">
        <v>373</v>
      </c>
    </row>
    <row r="360" spans="1:2">
      <c r="A360">
        <v>359715</v>
      </c>
      <c r="B360" t="s">
        <v>374</v>
      </c>
    </row>
    <row r="361" spans="1:2">
      <c r="A361">
        <v>14041757</v>
      </c>
      <c r="B361" t="s">
        <v>375</v>
      </c>
    </row>
    <row r="362" spans="1:2">
      <c r="A362">
        <v>14089175</v>
      </c>
      <c r="B362" t="s">
        <v>376</v>
      </c>
    </row>
    <row r="363" spans="1:2">
      <c r="A363">
        <v>12955260</v>
      </c>
      <c r="B363" t="s">
        <v>377</v>
      </c>
    </row>
    <row r="364" spans="1:2">
      <c r="A364">
        <v>12947724</v>
      </c>
      <c r="B364" t="s">
        <v>378</v>
      </c>
    </row>
    <row r="365" spans="1:2">
      <c r="A365">
        <v>15003943</v>
      </c>
      <c r="B365" t="s">
        <v>379</v>
      </c>
    </row>
    <row r="366" spans="1:2">
      <c r="A366">
        <v>14497554</v>
      </c>
      <c r="B366" t="s">
        <v>380</v>
      </c>
    </row>
    <row r="367" spans="1:2">
      <c r="A367">
        <v>12207665</v>
      </c>
      <c r="B367" t="s">
        <v>381</v>
      </c>
    </row>
    <row r="368" spans="1:2">
      <c r="A368">
        <v>15207751</v>
      </c>
      <c r="B368" t="s">
        <v>382</v>
      </c>
    </row>
    <row r="369" spans="1:2">
      <c r="A369">
        <v>13114241</v>
      </c>
      <c r="B369" t="s">
        <v>383</v>
      </c>
    </row>
    <row r="370" spans="1:2">
      <c r="A370">
        <v>12903042</v>
      </c>
      <c r="B370" t="s">
        <v>384</v>
      </c>
    </row>
    <row r="371" spans="1:2">
      <c r="A371">
        <v>11463661</v>
      </c>
      <c r="B371" t="s">
        <v>385</v>
      </c>
    </row>
    <row r="372" spans="1:2">
      <c r="A372">
        <v>12562642</v>
      </c>
      <c r="B372" t="s">
        <v>386</v>
      </c>
    </row>
    <row r="373" spans="1:2">
      <c r="A373">
        <v>12576282</v>
      </c>
      <c r="B373" t="s">
        <v>387</v>
      </c>
    </row>
    <row r="374" spans="1:2">
      <c r="A374">
        <v>14140091</v>
      </c>
      <c r="B374" t="s">
        <v>388</v>
      </c>
    </row>
    <row r="375" spans="1:2">
      <c r="A375">
        <v>12706249</v>
      </c>
      <c r="B375" t="s">
        <v>389</v>
      </c>
    </row>
    <row r="376" spans="1:2">
      <c r="A376">
        <v>14683876</v>
      </c>
      <c r="B376" t="s">
        <v>390</v>
      </c>
    </row>
    <row r="377" spans="1:2">
      <c r="A377">
        <v>11734573</v>
      </c>
      <c r="B377" t="s">
        <v>391</v>
      </c>
    </row>
    <row r="378" spans="1:2">
      <c r="A378">
        <v>12800707</v>
      </c>
      <c r="B378" t="s">
        <v>392</v>
      </c>
    </row>
    <row r="379" spans="1:2">
      <c r="A379">
        <v>12107362</v>
      </c>
      <c r="B379" t="s">
        <v>393</v>
      </c>
    </row>
    <row r="380" spans="1:2">
      <c r="A380">
        <v>14667255</v>
      </c>
      <c r="B380" t="s">
        <v>394</v>
      </c>
    </row>
    <row r="381" spans="1:2">
      <c r="A381">
        <v>15068330</v>
      </c>
      <c r="B381" t="s">
        <v>395</v>
      </c>
    </row>
    <row r="382" spans="1:2">
      <c r="A382">
        <v>13278440</v>
      </c>
      <c r="B382" t="s">
        <v>396</v>
      </c>
    </row>
    <row r="383" spans="1:2">
      <c r="A383">
        <v>11306420</v>
      </c>
      <c r="B383" t="s">
        <v>397</v>
      </c>
    </row>
    <row r="384" spans="1:2">
      <c r="A384">
        <v>13656638</v>
      </c>
      <c r="B384" t="s">
        <v>398</v>
      </c>
    </row>
    <row r="385" spans="1:2">
      <c r="A385">
        <v>11308551</v>
      </c>
      <c r="B385" t="s">
        <v>399</v>
      </c>
    </row>
    <row r="386" spans="1:2">
      <c r="A386">
        <v>11554947</v>
      </c>
      <c r="B386" t="s">
        <v>400</v>
      </c>
    </row>
    <row r="387" spans="1:2">
      <c r="A387">
        <v>307862</v>
      </c>
      <c r="B387" t="s">
        <v>401</v>
      </c>
    </row>
    <row r="388" spans="1:2">
      <c r="A388">
        <v>12532618</v>
      </c>
      <c r="B388" t="s">
        <v>402</v>
      </c>
    </row>
    <row r="389" spans="1:2">
      <c r="A389">
        <v>15015279</v>
      </c>
      <c r="B389" t="s">
        <v>403</v>
      </c>
    </row>
    <row r="390" spans="1:2">
      <c r="A390">
        <v>13810111</v>
      </c>
      <c r="B390" t="s">
        <v>404</v>
      </c>
    </row>
    <row r="391" spans="1:2">
      <c r="A391">
        <v>13528649</v>
      </c>
      <c r="B391" t="s">
        <v>405</v>
      </c>
    </row>
    <row r="392" spans="1:2">
      <c r="A392">
        <v>11538678</v>
      </c>
      <c r="B392" t="s">
        <v>406</v>
      </c>
    </row>
    <row r="393" spans="1:2">
      <c r="A393">
        <v>13199904</v>
      </c>
      <c r="B393" t="s">
        <v>407</v>
      </c>
    </row>
    <row r="394" spans="1:2">
      <c r="A394">
        <v>14620514</v>
      </c>
      <c r="B394" t="s">
        <v>408</v>
      </c>
    </row>
    <row r="395" spans="1:2">
      <c r="A395">
        <v>12004608</v>
      </c>
      <c r="B395" t="s">
        <v>409</v>
      </c>
    </row>
    <row r="396" spans="1:2">
      <c r="A396">
        <v>13248221</v>
      </c>
      <c r="B396" t="s">
        <v>410</v>
      </c>
    </row>
    <row r="397" spans="1:2">
      <c r="A397">
        <v>13637012</v>
      </c>
      <c r="B397" t="s">
        <v>411</v>
      </c>
    </row>
    <row r="398" spans="1:2">
      <c r="A398">
        <v>11040496</v>
      </c>
      <c r="B398" t="s">
        <v>412</v>
      </c>
    </row>
    <row r="399" spans="1:2">
      <c r="A399">
        <v>12581016</v>
      </c>
      <c r="B399" t="s">
        <v>413</v>
      </c>
    </row>
    <row r="400" spans="1:2">
      <c r="A400">
        <v>12396168</v>
      </c>
      <c r="B400" t="s">
        <v>414</v>
      </c>
    </row>
    <row r="401" spans="1:2">
      <c r="A401">
        <v>11662051</v>
      </c>
      <c r="B401" t="s">
        <v>415</v>
      </c>
    </row>
    <row r="402" spans="1:2">
      <c r="A402">
        <v>11007610</v>
      </c>
      <c r="B402" t="s">
        <v>416</v>
      </c>
    </row>
    <row r="403" spans="1:2">
      <c r="A403">
        <v>12140297</v>
      </c>
      <c r="B403" t="s">
        <v>417</v>
      </c>
    </row>
    <row r="404" spans="1:2">
      <c r="A404">
        <v>11535448</v>
      </c>
      <c r="B404" t="s">
        <v>418</v>
      </c>
    </row>
    <row r="405" spans="1:2">
      <c r="A405">
        <v>14973831</v>
      </c>
      <c r="B405" t="s">
        <v>419</v>
      </c>
    </row>
    <row r="406" spans="1:2">
      <c r="A406">
        <v>15322724</v>
      </c>
      <c r="B406" t="s">
        <v>420</v>
      </c>
    </row>
    <row r="407" spans="1:2">
      <c r="A407">
        <v>13671632</v>
      </c>
      <c r="B407" t="s">
        <v>421</v>
      </c>
    </row>
    <row r="408" spans="1:2">
      <c r="A408">
        <v>12823096</v>
      </c>
      <c r="B408" t="s">
        <v>422</v>
      </c>
    </row>
    <row r="409" spans="1:2">
      <c r="A409">
        <v>13597404</v>
      </c>
      <c r="B409" t="s">
        <v>423</v>
      </c>
    </row>
    <row r="410" spans="1:2">
      <c r="A410">
        <v>313254</v>
      </c>
      <c r="B410" t="s">
        <v>424</v>
      </c>
    </row>
    <row r="411" spans="1:2">
      <c r="A411">
        <v>13733634</v>
      </c>
      <c r="B411" t="s">
        <v>425</v>
      </c>
    </row>
    <row r="412" spans="1:2">
      <c r="A412">
        <v>13206787</v>
      </c>
      <c r="B412" t="s">
        <v>426</v>
      </c>
    </row>
    <row r="413" spans="1:2">
      <c r="A413">
        <v>15237706</v>
      </c>
      <c r="B413" t="s">
        <v>427</v>
      </c>
    </row>
    <row r="414" spans="1:2">
      <c r="A414">
        <v>11153787</v>
      </c>
      <c r="B414" t="s">
        <v>428</v>
      </c>
    </row>
    <row r="415" spans="1:2">
      <c r="A415">
        <v>12874021</v>
      </c>
      <c r="B415" t="s">
        <v>429</v>
      </c>
    </row>
    <row r="416" spans="1:2">
      <c r="A416">
        <v>209850</v>
      </c>
      <c r="B416" t="s">
        <v>430</v>
      </c>
    </row>
    <row r="417" spans="1:2">
      <c r="A417">
        <v>15188305</v>
      </c>
      <c r="B417" t="s">
        <v>431</v>
      </c>
    </row>
    <row r="418" spans="1:2">
      <c r="A418">
        <v>11117773</v>
      </c>
      <c r="B418" t="s">
        <v>432</v>
      </c>
    </row>
    <row r="419" spans="1:2">
      <c r="A419">
        <v>11230476</v>
      </c>
      <c r="B419" t="s">
        <v>433</v>
      </c>
    </row>
    <row r="420" spans="1:2">
      <c r="A420">
        <v>12422426</v>
      </c>
      <c r="B420" t="s">
        <v>434</v>
      </c>
    </row>
    <row r="421" spans="1:2">
      <c r="A421">
        <v>13971853</v>
      </c>
      <c r="B421" t="s">
        <v>435</v>
      </c>
    </row>
    <row r="422" spans="1:2">
      <c r="A422">
        <v>14912226</v>
      </c>
      <c r="B422" t="s">
        <v>436</v>
      </c>
    </row>
    <row r="423" spans="1:2">
      <c r="A423">
        <v>12566503</v>
      </c>
      <c r="B423" t="s">
        <v>437</v>
      </c>
    </row>
    <row r="424" spans="1:2">
      <c r="A424">
        <v>11470240</v>
      </c>
      <c r="B424" t="s">
        <v>438</v>
      </c>
    </row>
    <row r="425" spans="1:2">
      <c r="A425">
        <v>14729975</v>
      </c>
      <c r="B425" t="s">
        <v>439</v>
      </c>
    </row>
    <row r="426" spans="1:2">
      <c r="A426">
        <v>14169346</v>
      </c>
      <c r="B426" t="s">
        <v>1095</v>
      </c>
    </row>
    <row r="427" spans="1:2">
      <c r="A427">
        <v>12052605</v>
      </c>
      <c r="B427" t="s">
        <v>440</v>
      </c>
    </row>
    <row r="428" spans="1:2">
      <c r="A428">
        <v>13238022</v>
      </c>
      <c r="B428" t="s">
        <v>441</v>
      </c>
    </row>
    <row r="429" spans="1:2">
      <c r="A429">
        <v>14618781</v>
      </c>
      <c r="B429" t="s">
        <v>442</v>
      </c>
    </row>
    <row r="430" spans="1:2">
      <c r="A430">
        <v>14826246</v>
      </c>
      <c r="B430" t="s">
        <v>443</v>
      </c>
    </row>
    <row r="431" spans="1:2">
      <c r="A431">
        <v>13961206</v>
      </c>
      <c r="B431" t="s">
        <v>444</v>
      </c>
    </row>
    <row r="432" spans="1:2">
      <c r="A432">
        <v>14460083</v>
      </c>
      <c r="B432" t="s">
        <v>445</v>
      </c>
    </row>
    <row r="433" spans="1:2">
      <c r="A433">
        <v>14479694</v>
      </c>
      <c r="B433" t="s">
        <v>446</v>
      </c>
    </row>
    <row r="434" spans="1:2">
      <c r="A434">
        <v>14292860</v>
      </c>
      <c r="B434" t="s">
        <v>447</v>
      </c>
    </row>
    <row r="435" spans="1:2">
      <c r="A435">
        <v>12375374</v>
      </c>
      <c r="B435" t="s">
        <v>448</v>
      </c>
    </row>
    <row r="436" spans="1:2">
      <c r="A436">
        <v>12102459</v>
      </c>
      <c r="B436" t="s">
        <v>449</v>
      </c>
    </row>
    <row r="437" spans="1:2">
      <c r="A437">
        <v>13709388</v>
      </c>
      <c r="B437" t="s">
        <v>450</v>
      </c>
    </row>
    <row r="438" spans="1:2">
      <c r="A438">
        <v>14494745</v>
      </c>
      <c r="B438" t="s">
        <v>451</v>
      </c>
    </row>
    <row r="439" spans="1:2">
      <c r="A439">
        <v>13286654</v>
      </c>
      <c r="B439" t="s">
        <v>452</v>
      </c>
    </row>
    <row r="440" spans="1:2">
      <c r="A440">
        <v>14740588</v>
      </c>
      <c r="B440" t="s">
        <v>453</v>
      </c>
    </row>
    <row r="441" spans="1:2">
      <c r="A441">
        <v>14048598</v>
      </c>
      <c r="B441" t="s">
        <v>454</v>
      </c>
    </row>
    <row r="442" spans="1:2">
      <c r="A442">
        <v>13224894</v>
      </c>
      <c r="B442" t="s">
        <v>455</v>
      </c>
    </row>
    <row r="443" spans="1:2">
      <c r="A443">
        <v>14670387</v>
      </c>
      <c r="B443" t="s">
        <v>456</v>
      </c>
    </row>
    <row r="444" spans="1:2">
      <c r="A444">
        <v>13448685</v>
      </c>
      <c r="B444" t="s">
        <v>457</v>
      </c>
    </row>
    <row r="445" spans="1:2">
      <c r="A445">
        <v>12319991</v>
      </c>
      <c r="B445" t="s">
        <v>458</v>
      </c>
    </row>
    <row r="446" spans="1:2">
      <c r="A446">
        <v>12978998</v>
      </c>
      <c r="B446" t="s">
        <v>459</v>
      </c>
    </row>
    <row r="447" spans="1:2">
      <c r="A447">
        <v>289707</v>
      </c>
      <c r="B447" t="s">
        <v>460</v>
      </c>
    </row>
    <row r="448" spans="1:2">
      <c r="A448">
        <v>15358145</v>
      </c>
      <c r="B448" t="s">
        <v>461</v>
      </c>
    </row>
    <row r="449" spans="1:2">
      <c r="A449">
        <v>13367823</v>
      </c>
      <c r="B449" t="s">
        <v>462</v>
      </c>
    </row>
    <row r="450" spans="1:2">
      <c r="A450">
        <v>14300428</v>
      </c>
      <c r="B450" t="s">
        <v>463</v>
      </c>
    </row>
    <row r="451" spans="1:2">
      <c r="A451">
        <v>13508845</v>
      </c>
      <c r="B451" t="s">
        <v>464</v>
      </c>
    </row>
    <row r="452" spans="1:2">
      <c r="A452">
        <v>14494032</v>
      </c>
      <c r="B452" t="s">
        <v>465</v>
      </c>
    </row>
    <row r="453" spans="1:2">
      <c r="A453">
        <v>15268027</v>
      </c>
      <c r="B453" t="s">
        <v>466</v>
      </c>
    </row>
    <row r="454" spans="1:2">
      <c r="A454">
        <v>13144918</v>
      </c>
      <c r="B454" t="s">
        <v>467</v>
      </c>
    </row>
    <row r="455" spans="1:2">
      <c r="A455">
        <v>15392840</v>
      </c>
      <c r="B455" t="s">
        <v>468</v>
      </c>
    </row>
    <row r="456" spans="1:2">
      <c r="A456">
        <v>224837</v>
      </c>
      <c r="B456" t="s">
        <v>1096</v>
      </c>
    </row>
    <row r="457" spans="1:2">
      <c r="A457">
        <v>14509784</v>
      </c>
      <c r="B457" t="s">
        <v>469</v>
      </c>
    </row>
    <row r="458" spans="1:2">
      <c r="A458">
        <v>15053573</v>
      </c>
      <c r="B458" t="s">
        <v>470</v>
      </c>
    </row>
    <row r="459" spans="1:2">
      <c r="A459">
        <v>11922056</v>
      </c>
      <c r="B459" t="s">
        <v>471</v>
      </c>
    </row>
    <row r="460" spans="1:2">
      <c r="A460">
        <v>15055908</v>
      </c>
      <c r="B460" t="s">
        <v>472</v>
      </c>
    </row>
    <row r="461" spans="1:2">
      <c r="A461">
        <v>14272006</v>
      </c>
      <c r="B461" t="s">
        <v>473</v>
      </c>
    </row>
    <row r="462" spans="1:2">
      <c r="A462">
        <v>14566062</v>
      </c>
      <c r="B462" t="s">
        <v>474</v>
      </c>
    </row>
    <row r="463" spans="1:2">
      <c r="A463">
        <v>11079491</v>
      </c>
      <c r="B463" t="s">
        <v>1097</v>
      </c>
    </row>
    <row r="464" spans="1:2">
      <c r="A464">
        <v>12581047</v>
      </c>
      <c r="B464" t="s">
        <v>475</v>
      </c>
    </row>
    <row r="465" spans="1:2">
      <c r="A465">
        <v>14411201</v>
      </c>
      <c r="B465" t="s">
        <v>476</v>
      </c>
    </row>
    <row r="466" spans="1:2">
      <c r="A466">
        <v>13947525</v>
      </c>
      <c r="B466" t="s">
        <v>477</v>
      </c>
    </row>
    <row r="467" spans="1:2">
      <c r="A467">
        <v>12838608</v>
      </c>
      <c r="B467" t="s">
        <v>478</v>
      </c>
    </row>
    <row r="468" spans="1:2">
      <c r="A468">
        <v>14808133</v>
      </c>
      <c r="B468" t="s">
        <v>479</v>
      </c>
    </row>
    <row r="469" spans="1:2">
      <c r="A469">
        <v>14422767</v>
      </c>
      <c r="B469" t="s">
        <v>480</v>
      </c>
    </row>
    <row r="470" spans="1:2">
      <c r="A470">
        <v>11848589</v>
      </c>
      <c r="B470" t="s">
        <v>481</v>
      </c>
    </row>
    <row r="471" spans="1:2">
      <c r="A471">
        <v>11242910</v>
      </c>
      <c r="B471" t="s">
        <v>482</v>
      </c>
    </row>
    <row r="472" spans="1:2">
      <c r="A472">
        <v>14889382</v>
      </c>
      <c r="B472" t="s">
        <v>483</v>
      </c>
    </row>
    <row r="473" spans="1:2">
      <c r="A473">
        <v>68711</v>
      </c>
      <c r="B473" t="s">
        <v>484</v>
      </c>
    </row>
    <row r="474" spans="1:2">
      <c r="A474">
        <v>14921054</v>
      </c>
      <c r="B474" t="s">
        <v>485</v>
      </c>
    </row>
    <row r="475" spans="1:2">
      <c r="A475">
        <v>13376027</v>
      </c>
      <c r="B475" t="s">
        <v>486</v>
      </c>
    </row>
    <row r="476" spans="1:2">
      <c r="A476">
        <v>13253454</v>
      </c>
      <c r="B476" t="s">
        <v>487</v>
      </c>
    </row>
    <row r="477" spans="1:2">
      <c r="A477">
        <v>14982721</v>
      </c>
      <c r="B477" t="s">
        <v>488</v>
      </c>
    </row>
    <row r="478" spans="1:2">
      <c r="A478">
        <v>12779516</v>
      </c>
      <c r="B478" t="s">
        <v>489</v>
      </c>
    </row>
    <row r="479" spans="1:2">
      <c r="A479">
        <v>13803798</v>
      </c>
      <c r="B479" t="s">
        <v>490</v>
      </c>
    </row>
    <row r="480" spans="1:2">
      <c r="A480">
        <v>11847580</v>
      </c>
      <c r="B480" t="s">
        <v>491</v>
      </c>
    </row>
    <row r="481" spans="1:2">
      <c r="A481">
        <v>12617513</v>
      </c>
      <c r="B481" t="s">
        <v>492</v>
      </c>
    </row>
    <row r="482" spans="1:2">
      <c r="A482">
        <v>13059830</v>
      </c>
      <c r="B482" t="s">
        <v>493</v>
      </c>
    </row>
    <row r="483" spans="1:2">
      <c r="A483">
        <v>12387544</v>
      </c>
      <c r="B483" t="s">
        <v>494</v>
      </c>
    </row>
    <row r="484" spans="1:2">
      <c r="A484">
        <v>14026272</v>
      </c>
      <c r="B484" t="s">
        <v>495</v>
      </c>
    </row>
    <row r="485" spans="1:2">
      <c r="A485">
        <v>11983590</v>
      </c>
      <c r="B485" t="s">
        <v>496</v>
      </c>
    </row>
    <row r="486" spans="1:2">
      <c r="A486">
        <v>14277678</v>
      </c>
      <c r="B486" t="s">
        <v>497</v>
      </c>
    </row>
    <row r="487" spans="1:2">
      <c r="A487">
        <v>12315899</v>
      </c>
      <c r="B487" t="s">
        <v>498</v>
      </c>
    </row>
    <row r="488" spans="1:2">
      <c r="A488">
        <v>11479779</v>
      </c>
      <c r="B488" t="s">
        <v>499</v>
      </c>
    </row>
    <row r="489" spans="1:2">
      <c r="A489">
        <v>11623838</v>
      </c>
      <c r="B489" t="s">
        <v>500</v>
      </c>
    </row>
    <row r="490" spans="1:2">
      <c r="A490">
        <v>89971</v>
      </c>
      <c r="B490" t="s">
        <v>501</v>
      </c>
    </row>
    <row r="491" spans="1:2">
      <c r="A491">
        <v>11039757</v>
      </c>
      <c r="B491" t="s">
        <v>502</v>
      </c>
    </row>
    <row r="492" spans="1:2">
      <c r="A492">
        <v>13254566</v>
      </c>
      <c r="B492" t="s">
        <v>503</v>
      </c>
    </row>
    <row r="493" spans="1:2">
      <c r="A493">
        <v>12915895</v>
      </c>
      <c r="B493" t="s">
        <v>504</v>
      </c>
    </row>
    <row r="494" spans="1:2">
      <c r="A494">
        <v>14915957</v>
      </c>
      <c r="B494" t="s">
        <v>505</v>
      </c>
    </row>
    <row r="495" spans="1:2">
      <c r="A495">
        <v>15311818</v>
      </c>
      <c r="B495" t="s">
        <v>506</v>
      </c>
    </row>
    <row r="496" spans="1:2">
      <c r="A496">
        <v>12998430</v>
      </c>
      <c r="B496" t="s">
        <v>507</v>
      </c>
    </row>
    <row r="497" spans="1:2">
      <c r="A497">
        <v>13457099</v>
      </c>
      <c r="B497" t="s">
        <v>508</v>
      </c>
    </row>
    <row r="498" spans="1:2">
      <c r="A498">
        <v>14776706</v>
      </c>
      <c r="B498" t="s">
        <v>509</v>
      </c>
    </row>
    <row r="499" spans="1:2">
      <c r="A499">
        <v>12239174</v>
      </c>
      <c r="B499" t="s">
        <v>510</v>
      </c>
    </row>
    <row r="500" spans="1:2">
      <c r="A500">
        <v>11885633</v>
      </c>
      <c r="B500" t="s">
        <v>511</v>
      </c>
    </row>
    <row r="501" spans="1:2">
      <c r="A501">
        <v>13678639</v>
      </c>
      <c r="B501" t="s">
        <v>512</v>
      </c>
    </row>
    <row r="502" spans="1:2">
      <c r="A502">
        <v>124947</v>
      </c>
      <c r="B502" t="s">
        <v>513</v>
      </c>
    </row>
    <row r="503" spans="1:2">
      <c r="A503">
        <v>15093048</v>
      </c>
      <c r="B503" t="s">
        <v>514</v>
      </c>
    </row>
    <row r="504" spans="1:2">
      <c r="A504">
        <v>12549436</v>
      </c>
      <c r="B504" t="s">
        <v>515</v>
      </c>
    </row>
    <row r="505" spans="1:2">
      <c r="A505">
        <v>12426747</v>
      </c>
      <c r="B505" t="s">
        <v>516</v>
      </c>
    </row>
    <row r="506" spans="1:2">
      <c r="A506">
        <v>11785447</v>
      </c>
      <c r="B506" t="s">
        <v>517</v>
      </c>
    </row>
    <row r="507" spans="1:2">
      <c r="A507">
        <v>14257025</v>
      </c>
      <c r="B507" t="s">
        <v>518</v>
      </c>
    </row>
    <row r="508" spans="1:2">
      <c r="A508">
        <v>12887927</v>
      </c>
      <c r="B508" t="s">
        <v>519</v>
      </c>
    </row>
    <row r="509" spans="1:2">
      <c r="A509">
        <v>11756798</v>
      </c>
      <c r="B509" t="s">
        <v>520</v>
      </c>
    </row>
    <row r="510" spans="1:2">
      <c r="A510">
        <v>13387174</v>
      </c>
      <c r="B510" t="s">
        <v>521</v>
      </c>
    </row>
    <row r="511" spans="1:2">
      <c r="A511">
        <v>12827195</v>
      </c>
      <c r="B511" t="s">
        <v>522</v>
      </c>
    </row>
    <row r="512" spans="1:2">
      <c r="A512">
        <v>12022322</v>
      </c>
      <c r="B512" t="s">
        <v>523</v>
      </c>
    </row>
    <row r="513" spans="1:2">
      <c r="A513">
        <v>14624688</v>
      </c>
      <c r="B513" t="s">
        <v>524</v>
      </c>
    </row>
    <row r="514" spans="1:2">
      <c r="A514">
        <v>11717659</v>
      </c>
      <c r="B514" t="s">
        <v>525</v>
      </c>
    </row>
    <row r="515" spans="1:2">
      <c r="A515">
        <v>13868003</v>
      </c>
      <c r="B515" t="s">
        <v>526</v>
      </c>
    </row>
    <row r="516" spans="1:2">
      <c r="A516">
        <v>13790480</v>
      </c>
      <c r="B516" t="s">
        <v>527</v>
      </c>
    </row>
    <row r="517" spans="1:2">
      <c r="A517">
        <v>15111759</v>
      </c>
      <c r="B517" t="s">
        <v>528</v>
      </c>
    </row>
    <row r="518" spans="1:2">
      <c r="A518">
        <v>11385554</v>
      </c>
      <c r="B518" t="s">
        <v>529</v>
      </c>
    </row>
    <row r="519" spans="1:2">
      <c r="A519">
        <v>14110193</v>
      </c>
      <c r="B519" t="s">
        <v>530</v>
      </c>
    </row>
    <row r="520" spans="1:2">
      <c r="A520">
        <v>245438</v>
      </c>
      <c r="B520" t="s">
        <v>531</v>
      </c>
    </row>
    <row r="521" spans="1:2">
      <c r="A521">
        <v>11606902</v>
      </c>
      <c r="B521" t="s">
        <v>532</v>
      </c>
    </row>
    <row r="522" spans="1:2">
      <c r="A522">
        <v>11207808</v>
      </c>
      <c r="B522" t="s">
        <v>533</v>
      </c>
    </row>
    <row r="523" spans="1:2">
      <c r="A523">
        <v>14571620</v>
      </c>
      <c r="B523" t="s">
        <v>534</v>
      </c>
    </row>
    <row r="524" spans="1:2">
      <c r="A524">
        <v>12301194</v>
      </c>
      <c r="B524" t="s">
        <v>535</v>
      </c>
    </row>
    <row r="525" spans="1:2">
      <c r="A525">
        <v>14228017</v>
      </c>
      <c r="B525" t="s">
        <v>536</v>
      </c>
    </row>
    <row r="526" spans="1:2">
      <c r="A526">
        <v>12301771</v>
      </c>
      <c r="B526" t="s">
        <v>537</v>
      </c>
    </row>
    <row r="527" spans="1:2">
      <c r="A527">
        <v>14679005</v>
      </c>
      <c r="B527" t="s">
        <v>538</v>
      </c>
    </row>
    <row r="528" spans="1:2">
      <c r="A528">
        <v>12424935</v>
      </c>
      <c r="B528" t="s">
        <v>539</v>
      </c>
    </row>
    <row r="529" spans="1:2">
      <c r="A529">
        <v>13264552</v>
      </c>
      <c r="B529" t="s">
        <v>540</v>
      </c>
    </row>
    <row r="530" spans="1:2">
      <c r="A530">
        <v>12961925</v>
      </c>
      <c r="B530" t="s">
        <v>541</v>
      </c>
    </row>
    <row r="531" spans="1:2">
      <c r="A531">
        <v>13609754</v>
      </c>
      <c r="B531" t="s">
        <v>542</v>
      </c>
    </row>
    <row r="532" spans="1:2">
      <c r="A532">
        <v>13564957</v>
      </c>
      <c r="B532" t="s">
        <v>543</v>
      </c>
    </row>
    <row r="533" spans="1:2">
      <c r="A533">
        <v>12860561</v>
      </c>
      <c r="B533" t="s">
        <v>544</v>
      </c>
    </row>
    <row r="534" spans="1:2">
      <c r="A534">
        <v>13334484</v>
      </c>
      <c r="B534" t="s">
        <v>545</v>
      </c>
    </row>
    <row r="535" spans="1:2">
      <c r="A535">
        <v>11440427</v>
      </c>
      <c r="B535" t="s">
        <v>546</v>
      </c>
    </row>
    <row r="536" spans="1:2">
      <c r="A536">
        <v>11591289</v>
      </c>
      <c r="B536" t="s">
        <v>547</v>
      </c>
    </row>
    <row r="537" spans="1:2">
      <c r="A537">
        <v>11413631</v>
      </c>
      <c r="B537" t="s">
        <v>548</v>
      </c>
    </row>
    <row r="538" spans="1:2">
      <c r="A538">
        <v>11632309</v>
      </c>
      <c r="B538" t="s">
        <v>549</v>
      </c>
    </row>
    <row r="539" spans="1:2">
      <c r="A539">
        <v>11829189</v>
      </c>
      <c r="B539" t="s">
        <v>550</v>
      </c>
    </row>
    <row r="540" spans="1:2">
      <c r="A540">
        <v>15130931</v>
      </c>
      <c r="B540" t="s">
        <v>551</v>
      </c>
    </row>
    <row r="541" spans="1:2">
      <c r="A541">
        <v>13638094</v>
      </c>
      <c r="B541" t="s">
        <v>552</v>
      </c>
    </row>
    <row r="542" spans="1:2">
      <c r="A542">
        <v>13851447</v>
      </c>
      <c r="B542" t="s">
        <v>553</v>
      </c>
    </row>
    <row r="543" spans="1:2">
      <c r="A543">
        <v>14957672</v>
      </c>
      <c r="B543" t="s">
        <v>554</v>
      </c>
    </row>
    <row r="544" spans="1:2">
      <c r="A544">
        <v>13543780</v>
      </c>
      <c r="B544" t="s">
        <v>555</v>
      </c>
    </row>
    <row r="545" spans="1:2">
      <c r="A545">
        <v>12885910</v>
      </c>
      <c r="B545" t="s">
        <v>556</v>
      </c>
    </row>
    <row r="546" spans="1:2">
      <c r="A546">
        <v>13146343</v>
      </c>
      <c r="B546" t="s">
        <v>557</v>
      </c>
    </row>
    <row r="547" spans="1:2">
      <c r="A547">
        <v>13153123</v>
      </c>
      <c r="B547" t="s">
        <v>558</v>
      </c>
    </row>
    <row r="548" spans="1:2">
      <c r="A548">
        <v>14127608</v>
      </c>
      <c r="B548" t="s">
        <v>559</v>
      </c>
    </row>
    <row r="549" spans="1:2">
      <c r="A549">
        <v>12506486</v>
      </c>
      <c r="B549" t="s">
        <v>560</v>
      </c>
    </row>
    <row r="550" spans="1:2">
      <c r="A550">
        <v>12055289</v>
      </c>
      <c r="B550" t="s">
        <v>561</v>
      </c>
    </row>
    <row r="551" spans="1:2">
      <c r="A551">
        <v>11366754</v>
      </c>
      <c r="B551" t="s">
        <v>562</v>
      </c>
    </row>
    <row r="552" spans="1:2">
      <c r="A552">
        <v>159274</v>
      </c>
      <c r="B552" t="s">
        <v>563</v>
      </c>
    </row>
    <row r="553" spans="1:2">
      <c r="A553">
        <v>14630031</v>
      </c>
      <c r="B553" t="s">
        <v>564</v>
      </c>
    </row>
    <row r="554" spans="1:2">
      <c r="A554">
        <v>12900377</v>
      </c>
      <c r="B554" t="s">
        <v>565</v>
      </c>
    </row>
    <row r="555" spans="1:2">
      <c r="A555">
        <v>14206168</v>
      </c>
      <c r="B555" t="s">
        <v>566</v>
      </c>
    </row>
    <row r="556" spans="1:2">
      <c r="A556">
        <v>14620429</v>
      </c>
      <c r="B556" t="s">
        <v>567</v>
      </c>
    </row>
    <row r="557" spans="1:2">
      <c r="A557">
        <v>12183098</v>
      </c>
      <c r="B557" t="s">
        <v>568</v>
      </c>
    </row>
    <row r="558" spans="1:2">
      <c r="A558">
        <v>12451405</v>
      </c>
      <c r="B558" t="s">
        <v>569</v>
      </c>
    </row>
    <row r="559" spans="1:2">
      <c r="A559">
        <v>14773046</v>
      </c>
      <c r="B559" t="s">
        <v>570</v>
      </c>
    </row>
    <row r="560" spans="1:2">
      <c r="A560">
        <v>11549912</v>
      </c>
      <c r="B560" t="s">
        <v>571</v>
      </c>
    </row>
    <row r="561" spans="1:2">
      <c r="A561">
        <v>12040096</v>
      </c>
      <c r="B561" t="s">
        <v>572</v>
      </c>
    </row>
    <row r="562" spans="1:2">
      <c r="A562">
        <v>12974849</v>
      </c>
      <c r="B562" t="s">
        <v>573</v>
      </c>
    </row>
    <row r="563" spans="1:2">
      <c r="A563">
        <v>13961654</v>
      </c>
      <c r="B563" t="s">
        <v>574</v>
      </c>
    </row>
    <row r="564" spans="1:2">
      <c r="A564">
        <v>11462630</v>
      </c>
      <c r="B564" t="s">
        <v>575</v>
      </c>
    </row>
    <row r="565" spans="1:2">
      <c r="A565">
        <v>11399103</v>
      </c>
      <c r="B565" t="s">
        <v>576</v>
      </c>
    </row>
    <row r="566" spans="1:2">
      <c r="A566">
        <v>12068298</v>
      </c>
      <c r="B566" t="s">
        <v>577</v>
      </c>
    </row>
    <row r="567" spans="1:2">
      <c r="A567">
        <v>11522492</v>
      </c>
      <c r="B567" t="s">
        <v>578</v>
      </c>
    </row>
    <row r="568" spans="1:2">
      <c r="A568">
        <v>14806112</v>
      </c>
      <c r="B568" t="s">
        <v>579</v>
      </c>
    </row>
    <row r="569" spans="1:2">
      <c r="A569">
        <v>12597276</v>
      </c>
      <c r="B569" t="s">
        <v>580</v>
      </c>
    </row>
    <row r="570" spans="1:2">
      <c r="A570">
        <v>14602576</v>
      </c>
      <c r="B570" t="s">
        <v>581</v>
      </c>
    </row>
    <row r="571" spans="1:2">
      <c r="A571">
        <v>12241899</v>
      </c>
      <c r="B571" t="s">
        <v>582</v>
      </c>
    </row>
    <row r="572" spans="1:2">
      <c r="A572">
        <v>12818763</v>
      </c>
      <c r="B572" t="s">
        <v>583</v>
      </c>
    </row>
    <row r="573" spans="1:2">
      <c r="A573">
        <v>14493929</v>
      </c>
      <c r="B573" t="s">
        <v>584</v>
      </c>
    </row>
    <row r="574" spans="1:2">
      <c r="A574">
        <v>12539290</v>
      </c>
      <c r="B574" t="s">
        <v>585</v>
      </c>
    </row>
    <row r="575" spans="1:2">
      <c r="A575">
        <v>13962625</v>
      </c>
      <c r="B575" t="s">
        <v>586</v>
      </c>
    </row>
    <row r="576" spans="1:2">
      <c r="A576">
        <v>11117979</v>
      </c>
      <c r="B576" t="s">
        <v>587</v>
      </c>
    </row>
    <row r="577" spans="1:2">
      <c r="A577">
        <v>14803678</v>
      </c>
      <c r="B577" t="s">
        <v>588</v>
      </c>
    </row>
    <row r="578" spans="1:2">
      <c r="A578">
        <v>14582054</v>
      </c>
      <c r="B578" t="s">
        <v>589</v>
      </c>
    </row>
    <row r="579" spans="1:2">
      <c r="A579">
        <v>12937568</v>
      </c>
      <c r="B579" t="s">
        <v>590</v>
      </c>
    </row>
    <row r="580" spans="1:2">
      <c r="A580">
        <v>12855515</v>
      </c>
      <c r="B580" t="s">
        <v>591</v>
      </c>
    </row>
    <row r="581" spans="1:2">
      <c r="A581">
        <v>12488497</v>
      </c>
      <c r="B581" t="s">
        <v>592</v>
      </c>
    </row>
    <row r="582" spans="1:2">
      <c r="A582">
        <v>14977770</v>
      </c>
      <c r="B582" t="s">
        <v>593</v>
      </c>
    </row>
    <row r="583" spans="1:2">
      <c r="A583">
        <v>15105255</v>
      </c>
      <c r="B583" t="s">
        <v>594</v>
      </c>
    </row>
    <row r="584" spans="1:2">
      <c r="A584">
        <v>11860108</v>
      </c>
      <c r="B584" t="s">
        <v>595</v>
      </c>
    </row>
    <row r="585" spans="1:2">
      <c r="A585">
        <v>13211904</v>
      </c>
      <c r="B585" t="s">
        <v>596</v>
      </c>
    </row>
    <row r="586" spans="1:2">
      <c r="A586">
        <v>13211412</v>
      </c>
      <c r="B586" t="s">
        <v>597</v>
      </c>
    </row>
    <row r="587" spans="1:2">
      <c r="A587">
        <v>155306</v>
      </c>
      <c r="B587" t="s">
        <v>598</v>
      </c>
    </row>
    <row r="588" spans="1:2">
      <c r="A588">
        <v>13957784</v>
      </c>
      <c r="B588" t="s">
        <v>599</v>
      </c>
    </row>
    <row r="589" spans="1:2">
      <c r="A589">
        <v>12677855</v>
      </c>
      <c r="B589" t="s">
        <v>600</v>
      </c>
    </row>
    <row r="590" spans="1:2">
      <c r="A590">
        <v>13707467</v>
      </c>
      <c r="B590" t="s">
        <v>601</v>
      </c>
    </row>
    <row r="591" spans="1:2">
      <c r="A591">
        <v>11148127</v>
      </c>
      <c r="B591" t="s">
        <v>602</v>
      </c>
    </row>
    <row r="592" spans="1:2">
      <c r="A592">
        <v>12572819</v>
      </c>
      <c r="B592" t="s">
        <v>603</v>
      </c>
    </row>
    <row r="593" spans="1:2">
      <c r="A593">
        <v>13008383</v>
      </c>
      <c r="B593" t="s">
        <v>604</v>
      </c>
    </row>
    <row r="594" spans="1:2">
      <c r="A594">
        <v>332552</v>
      </c>
      <c r="B594" t="s">
        <v>605</v>
      </c>
    </row>
    <row r="595" spans="1:2">
      <c r="A595">
        <v>13756898</v>
      </c>
      <c r="B595" t="s">
        <v>606</v>
      </c>
    </row>
    <row r="596" spans="1:2">
      <c r="A596">
        <v>12570857</v>
      </c>
      <c r="B596" t="s">
        <v>607</v>
      </c>
    </row>
    <row r="597" spans="1:2">
      <c r="A597">
        <v>12672582</v>
      </c>
      <c r="B597" t="s">
        <v>608</v>
      </c>
    </row>
    <row r="598" spans="1:2">
      <c r="A598">
        <v>245958</v>
      </c>
      <c r="B598" t="s">
        <v>609</v>
      </c>
    </row>
    <row r="599" spans="1:2">
      <c r="A599">
        <v>13589271</v>
      </c>
      <c r="B599" t="s">
        <v>610</v>
      </c>
    </row>
    <row r="600" spans="1:2">
      <c r="A600">
        <v>11223236</v>
      </c>
      <c r="B600" t="s">
        <v>611</v>
      </c>
    </row>
    <row r="601" spans="1:2">
      <c r="A601">
        <v>12679938</v>
      </c>
      <c r="B601" t="s">
        <v>1098</v>
      </c>
    </row>
    <row r="602" spans="1:2">
      <c r="A602">
        <v>14796838</v>
      </c>
      <c r="B602" t="s">
        <v>612</v>
      </c>
    </row>
    <row r="603" spans="1:2">
      <c r="A603">
        <v>13258598</v>
      </c>
      <c r="B603" t="s">
        <v>613</v>
      </c>
    </row>
    <row r="604" spans="1:2">
      <c r="A604">
        <v>13733611</v>
      </c>
      <c r="B604" t="s">
        <v>614</v>
      </c>
    </row>
    <row r="605" spans="1:2">
      <c r="A605">
        <v>11866019</v>
      </c>
      <c r="B605" t="s">
        <v>615</v>
      </c>
    </row>
    <row r="606" spans="1:2">
      <c r="A606">
        <v>12671677</v>
      </c>
      <c r="B606" t="s">
        <v>616</v>
      </c>
    </row>
    <row r="607" spans="1:2">
      <c r="A607">
        <v>14091922</v>
      </c>
      <c r="B607" t="s">
        <v>617</v>
      </c>
    </row>
    <row r="608" spans="1:2">
      <c r="A608">
        <v>14310007</v>
      </c>
      <c r="B608" t="s">
        <v>618</v>
      </c>
    </row>
    <row r="609" spans="1:2">
      <c r="A609">
        <v>11051275</v>
      </c>
      <c r="B609" t="s">
        <v>619</v>
      </c>
    </row>
    <row r="610" spans="1:2">
      <c r="A610">
        <v>13175086</v>
      </c>
      <c r="B610" t="s">
        <v>620</v>
      </c>
    </row>
    <row r="611" spans="1:2">
      <c r="A611">
        <v>277282</v>
      </c>
      <c r="B611" t="s">
        <v>621</v>
      </c>
    </row>
    <row r="612" spans="1:2">
      <c r="A612">
        <v>12692677</v>
      </c>
      <c r="B612" t="s">
        <v>622</v>
      </c>
    </row>
    <row r="613" spans="1:2">
      <c r="A613">
        <v>11386300</v>
      </c>
      <c r="B613" t="s">
        <v>623</v>
      </c>
    </row>
    <row r="614" spans="1:2">
      <c r="A614">
        <v>12014761</v>
      </c>
      <c r="B614" t="s">
        <v>624</v>
      </c>
    </row>
    <row r="615" spans="1:2">
      <c r="A615">
        <v>14834431</v>
      </c>
      <c r="B615" t="s">
        <v>625</v>
      </c>
    </row>
    <row r="616" spans="1:2">
      <c r="A616">
        <v>13114994</v>
      </c>
      <c r="B616" t="s">
        <v>626</v>
      </c>
    </row>
    <row r="617" spans="1:2">
      <c r="A617">
        <v>12080246</v>
      </c>
      <c r="B617" t="s">
        <v>627</v>
      </c>
    </row>
    <row r="618" spans="1:2">
      <c r="A618">
        <v>12885240</v>
      </c>
      <c r="B618" t="s">
        <v>628</v>
      </c>
    </row>
    <row r="619" spans="1:2">
      <c r="A619">
        <v>14629942</v>
      </c>
      <c r="B619" t="s">
        <v>629</v>
      </c>
    </row>
    <row r="620" spans="1:2">
      <c r="A620">
        <v>13752826</v>
      </c>
      <c r="B620" t="s">
        <v>630</v>
      </c>
    </row>
    <row r="621" spans="1:2">
      <c r="A621">
        <v>14591475</v>
      </c>
      <c r="B621" t="s">
        <v>631</v>
      </c>
    </row>
    <row r="622" spans="1:2">
      <c r="A622">
        <v>11711646</v>
      </c>
      <c r="B622" t="s">
        <v>632</v>
      </c>
    </row>
    <row r="623" spans="1:2">
      <c r="A623">
        <v>14334862</v>
      </c>
      <c r="B623" t="s">
        <v>633</v>
      </c>
    </row>
    <row r="624" spans="1:2">
      <c r="A624">
        <v>12449933</v>
      </c>
      <c r="B624" t="s">
        <v>634</v>
      </c>
    </row>
    <row r="625" spans="1:2">
      <c r="A625">
        <v>13485742</v>
      </c>
      <c r="B625" t="s">
        <v>635</v>
      </c>
    </row>
    <row r="626" spans="1:2">
      <c r="A626">
        <v>12334346</v>
      </c>
      <c r="B626" t="s">
        <v>636</v>
      </c>
    </row>
    <row r="627" spans="1:2">
      <c r="A627">
        <v>12489022</v>
      </c>
      <c r="B627" t="s">
        <v>637</v>
      </c>
    </row>
    <row r="628" spans="1:2">
      <c r="A628">
        <v>14987816</v>
      </c>
      <c r="B628" t="s">
        <v>638</v>
      </c>
    </row>
    <row r="629" spans="1:2">
      <c r="A629">
        <v>14359521</v>
      </c>
      <c r="B629" t="s">
        <v>639</v>
      </c>
    </row>
    <row r="630" spans="1:2">
      <c r="A630">
        <v>14184204</v>
      </c>
      <c r="B630" t="s">
        <v>640</v>
      </c>
    </row>
    <row r="631" spans="1:2">
      <c r="A631">
        <v>13074676</v>
      </c>
      <c r="B631" t="s">
        <v>641</v>
      </c>
    </row>
    <row r="632" spans="1:2">
      <c r="A632">
        <v>14573190</v>
      </c>
      <c r="B632" t="s">
        <v>642</v>
      </c>
    </row>
    <row r="633" spans="1:2">
      <c r="A633">
        <v>14605247</v>
      </c>
      <c r="B633" t="s">
        <v>643</v>
      </c>
    </row>
    <row r="634" spans="1:2">
      <c r="A634">
        <v>12259110</v>
      </c>
      <c r="B634" t="s">
        <v>644</v>
      </c>
    </row>
    <row r="635" spans="1:2">
      <c r="A635">
        <v>11588887</v>
      </c>
      <c r="B635" t="s">
        <v>645</v>
      </c>
    </row>
    <row r="636" spans="1:2">
      <c r="A636">
        <v>14921125</v>
      </c>
      <c r="B636" t="s">
        <v>646</v>
      </c>
    </row>
    <row r="637" spans="1:2">
      <c r="A637">
        <v>13595746</v>
      </c>
      <c r="B637" t="s">
        <v>647</v>
      </c>
    </row>
    <row r="638" spans="1:2">
      <c r="A638">
        <v>14021044</v>
      </c>
      <c r="B638" t="s">
        <v>648</v>
      </c>
    </row>
    <row r="639" spans="1:2">
      <c r="A639">
        <v>12836200</v>
      </c>
      <c r="B639" t="s">
        <v>649</v>
      </c>
    </row>
    <row r="640" spans="1:2">
      <c r="A640">
        <v>13475678</v>
      </c>
      <c r="B640" t="s">
        <v>650</v>
      </c>
    </row>
    <row r="641" spans="1:2">
      <c r="A641">
        <v>15230984</v>
      </c>
      <c r="B641" t="s">
        <v>651</v>
      </c>
    </row>
    <row r="642" spans="1:2">
      <c r="A642">
        <v>11672368</v>
      </c>
      <c r="B642" t="s">
        <v>652</v>
      </c>
    </row>
    <row r="643" spans="1:2">
      <c r="A643">
        <v>12464943</v>
      </c>
      <c r="B643" t="s">
        <v>653</v>
      </c>
    </row>
    <row r="644" spans="1:2">
      <c r="A644">
        <v>97838</v>
      </c>
      <c r="B644" t="s">
        <v>654</v>
      </c>
    </row>
    <row r="645" spans="1:2">
      <c r="A645">
        <v>12308369</v>
      </c>
      <c r="B645" t="s">
        <v>655</v>
      </c>
    </row>
    <row r="646" spans="1:2">
      <c r="A646">
        <v>12759115</v>
      </c>
      <c r="B646" t="s">
        <v>656</v>
      </c>
    </row>
    <row r="647" spans="1:2">
      <c r="A647">
        <v>12099188</v>
      </c>
      <c r="B647" t="s">
        <v>657</v>
      </c>
    </row>
    <row r="648" spans="1:2">
      <c r="A648">
        <v>296463</v>
      </c>
      <c r="B648" t="s">
        <v>658</v>
      </c>
    </row>
    <row r="649" spans="1:2">
      <c r="A649">
        <v>14477885</v>
      </c>
      <c r="B649" t="s">
        <v>659</v>
      </c>
    </row>
    <row r="650" spans="1:2">
      <c r="A650">
        <v>13438345</v>
      </c>
      <c r="B650" t="s">
        <v>660</v>
      </c>
    </row>
    <row r="651" spans="1:2">
      <c r="A651">
        <v>11819874</v>
      </c>
      <c r="B651" t="s">
        <v>661</v>
      </c>
    </row>
    <row r="652" spans="1:2">
      <c r="A652">
        <v>12319292</v>
      </c>
      <c r="B652" t="s">
        <v>16</v>
      </c>
    </row>
    <row r="653" spans="1:2">
      <c r="A653">
        <v>11574289</v>
      </c>
      <c r="B653" t="s">
        <v>662</v>
      </c>
    </row>
    <row r="654" spans="1:2">
      <c r="A654">
        <v>14659558</v>
      </c>
      <c r="B654" t="s">
        <v>663</v>
      </c>
    </row>
    <row r="655" spans="1:2">
      <c r="A655">
        <v>11409125</v>
      </c>
      <c r="B655" t="s">
        <v>664</v>
      </c>
    </row>
    <row r="656" spans="1:2">
      <c r="A656">
        <v>14957106</v>
      </c>
      <c r="B656" t="s">
        <v>665</v>
      </c>
    </row>
    <row r="657" spans="1:2">
      <c r="A657">
        <v>13275389</v>
      </c>
      <c r="B657" t="s">
        <v>666</v>
      </c>
    </row>
    <row r="658" spans="1:2">
      <c r="A658">
        <v>14331189</v>
      </c>
      <c r="B658" t="s">
        <v>667</v>
      </c>
    </row>
    <row r="659" spans="1:2">
      <c r="A659">
        <v>14053247</v>
      </c>
      <c r="B659" t="s">
        <v>668</v>
      </c>
    </row>
    <row r="660" spans="1:2">
      <c r="A660">
        <v>15046635</v>
      </c>
      <c r="B660" t="s">
        <v>669</v>
      </c>
    </row>
    <row r="661" spans="1:2">
      <c r="A661">
        <v>13408671</v>
      </c>
      <c r="B661" t="s">
        <v>670</v>
      </c>
    </row>
    <row r="662" spans="1:2">
      <c r="A662">
        <v>15151566</v>
      </c>
      <c r="B662" t="s">
        <v>671</v>
      </c>
    </row>
    <row r="663" spans="1:2">
      <c r="A663">
        <v>14497506</v>
      </c>
      <c r="B663" t="s">
        <v>672</v>
      </c>
    </row>
    <row r="664" spans="1:2">
      <c r="A664">
        <v>11976480</v>
      </c>
      <c r="B664" t="s">
        <v>673</v>
      </c>
    </row>
    <row r="665" spans="1:2">
      <c r="A665">
        <v>11977485</v>
      </c>
      <c r="B665" t="s">
        <v>674</v>
      </c>
    </row>
    <row r="666" spans="1:2">
      <c r="A666">
        <v>12776269</v>
      </c>
      <c r="B666" t="s">
        <v>675</v>
      </c>
    </row>
    <row r="667" spans="1:2">
      <c r="A667">
        <v>15158097</v>
      </c>
      <c r="B667" t="s">
        <v>676</v>
      </c>
    </row>
    <row r="668" spans="1:2">
      <c r="A668">
        <v>13711418</v>
      </c>
      <c r="B668" t="s">
        <v>677</v>
      </c>
    </row>
    <row r="669" spans="1:2">
      <c r="A669">
        <v>14378749</v>
      </c>
      <c r="B669" t="s">
        <v>678</v>
      </c>
    </row>
    <row r="670" spans="1:2">
      <c r="A670">
        <v>14095517</v>
      </c>
      <c r="B670" t="s">
        <v>679</v>
      </c>
    </row>
    <row r="671" spans="1:2">
      <c r="A671">
        <v>13765356</v>
      </c>
      <c r="B671" t="s">
        <v>680</v>
      </c>
    </row>
    <row r="672" spans="1:2">
      <c r="A672">
        <v>11407032</v>
      </c>
      <c r="B672" t="s">
        <v>681</v>
      </c>
    </row>
    <row r="673" spans="1:2">
      <c r="A673">
        <v>15158761</v>
      </c>
      <c r="B673" t="s">
        <v>682</v>
      </c>
    </row>
    <row r="674" spans="1:2">
      <c r="A674">
        <v>12678201</v>
      </c>
      <c r="B674" t="s">
        <v>683</v>
      </c>
    </row>
    <row r="675" spans="1:2">
      <c r="A675">
        <v>12131804</v>
      </c>
      <c r="B675" t="s">
        <v>684</v>
      </c>
    </row>
    <row r="676" spans="1:2">
      <c r="A676">
        <v>13764129</v>
      </c>
      <c r="B676" t="s">
        <v>685</v>
      </c>
    </row>
    <row r="677" spans="1:2">
      <c r="A677">
        <v>11836712</v>
      </c>
      <c r="B677" t="s">
        <v>686</v>
      </c>
    </row>
    <row r="678" spans="1:2">
      <c r="A678">
        <v>12578149</v>
      </c>
      <c r="B678" t="s">
        <v>687</v>
      </c>
    </row>
    <row r="679" spans="1:2">
      <c r="A679">
        <v>11562148</v>
      </c>
      <c r="B679" t="s">
        <v>688</v>
      </c>
    </row>
    <row r="680" spans="1:2">
      <c r="A680">
        <v>12428630</v>
      </c>
      <c r="B680" t="s">
        <v>689</v>
      </c>
    </row>
    <row r="681" spans="1:2">
      <c r="A681">
        <v>13250985</v>
      </c>
      <c r="B681" t="s">
        <v>690</v>
      </c>
    </row>
    <row r="682" spans="1:2">
      <c r="A682">
        <v>11118131</v>
      </c>
      <c r="B682" t="s">
        <v>691</v>
      </c>
    </row>
    <row r="683" spans="1:2">
      <c r="A683">
        <v>12649832</v>
      </c>
      <c r="B683" t="s">
        <v>692</v>
      </c>
    </row>
    <row r="684" spans="1:2">
      <c r="A684">
        <v>12761898</v>
      </c>
      <c r="B684" t="s">
        <v>693</v>
      </c>
    </row>
    <row r="685" spans="1:2">
      <c r="A685">
        <v>13373674</v>
      </c>
      <c r="B685" t="s">
        <v>694</v>
      </c>
    </row>
    <row r="686" spans="1:2">
      <c r="A686">
        <v>12358712</v>
      </c>
      <c r="B686" t="s">
        <v>695</v>
      </c>
    </row>
    <row r="687" spans="1:2">
      <c r="A687">
        <v>15248852</v>
      </c>
      <c r="B687" t="s">
        <v>696</v>
      </c>
    </row>
    <row r="688" spans="1:2">
      <c r="A688">
        <v>14138044</v>
      </c>
      <c r="B688" t="s">
        <v>697</v>
      </c>
    </row>
    <row r="689" spans="1:2">
      <c r="A689">
        <v>12239935</v>
      </c>
      <c r="B689" t="s">
        <v>698</v>
      </c>
    </row>
    <row r="690" spans="1:2">
      <c r="A690">
        <v>185086</v>
      </c>
      <c r="B690" t="s">
        <v>699</v>
      </c>
    </row>
    <row r="691" spans="1:2">
      <c r="A691">
        <v>14888325</v>
      </c>
      <c r="B691" t="s">
        <v>700</v>
      </c>
    </row>
    <row r="692" spans="1:2">
      <c r="A692">
        <v>14395113</v>
      </c>
      <c r="B692" t="s">
        <v>701</v>
      </c>
    </row>
    <row r="693" spans="1:2">
      <c r="A693">
        <v>13455112</v>
      </c>
      <c r="B693" t="s">
        <v>702</v>
      </c>
    </row>
    <row r="694" spans="1:2">
      <c r="A694">
        <v>11791888</v>
      </c>
      <c r="B694" t="s">
        <v>703</v>
      </c>
    </row>
    <row r="695" spans="1:2">
      <c r="A695">
        <v>15067703</v>
      </c>
      <c r="B695" t="s">
        <v>704</v>
      </c>
    </row>
    <row r="696" spans="1:2">
      <c r="A696">
        <v>14577288</v>
      </c>
      <c r="B696" t="s">
        <v>705</v>
      </c>
    </row>
    <row r="697" spans="1:2">
      <c r="A697">
        <v>12751837</v>
      </c>
      <c r="B697" t="s">
        <v>706</v>
      </c>
    </row>
    <row r="698" spans="1:2">
      <c r="A698">
        <v>12429820</v>
      </c>
      <c r="B698" t="s">
        <v>707</v>
      </c>
    </row>
    <row r="699" spans="1:2">
      <c r="A699">
        <v>12582550</v>
      </c>
      <c r="B699" t="s">
        <v>708</v>
      </c>
    </row>
    <row r="700" spans="1:2">
      <c r="A700">
        <v>13933894</v>
      </c>
      <c r="B700" t="s">
        <v>709</v>
      </c>
    </row>
    <row r="701" spans="1:2">
      <c r="A701">
        <v>12309687</v>
      </c>
      <c r="B701" t="s">
        <v>710</v>
      </c>
    </row>
    <row r="702" spans="1:2">
      <c r="A702">
        <v>12171607</v>
      </c>
      <c r="B702" t="s">
        <v>711</v>
      </c>
    </row>
    <row r="703" spans="1:2">
      <c r="A703">
        <v>163883</v>
      </c>
      <c r="B703" t="s">
        <v>712</v>
      </c>
    </row>
    <row r="704" spans="1:2">
      <c r="A704">
        <v>12614045</v>
      </c>
      <c r="B704" t="s">
        <v>713</v>
      </c>
    </row>
    <row r="705" spans="1:2">
      <c r="A705">
        <v>13147029</v>
      </c>
      <c r="B705" t="s">
        <v>714</v>
      </c>
    </row>
    <row r="706" spans="1:2">
      <c r="A706">
        <v>14812618</v>
      </c>
      <c r="B706" t="s">
        <v>715</v>
      </c>
    </row>
    <row r="707" spans="1:2">
      <c r="A707">
        <v>13758398</v>
      </c>
      <c r="B707" t="s">
        <v>716</v>
      </c>
    </row>
    <row r="708" spans="1:2">
      <c r="A708">
        <v>12158603</v>
      </c>
      <c r="B708" t="s">
        <v>717</v>
      </c>
    </row>
    <row r="709" spans="1:2">
      <c r="A709">
        <v>11038703</v>
      </c>
      <c r="B709" t="s">
        <v>1099</v>
      </c>
    </row>
    <row r="710" spans="1:2">
      <c r="A710">
        <v>14553668</v>
      </c>
      <c r="B710" t="s">
        <v>718</v>
      </c>
    </row>
    <row r="711" spans="1:2">
      <c r="A711">
        <v>13600617</v>
      </c>
      <c r="B711" t="s">
        <v>719</v>
      </c>
    </row>
    <row r="712" spans="1:2">
      <c r="A712">
        <v>14556890</v>
      </c>
      <c r="B712" t="s">
        <v>720</v>
      </c>
    </row>
    <row r="713" spans="1:2">
      <c r="A713">
        <v>12223372</v>
      </c>
      <c r="B713" t="s">
        <v>721</v>
      </c>
    </row>
    <row r="714" spans="1:2">
      <c r="A714">
        <v>12591836</v>
      </c>
      <c r="B714" t="s">
        <v>722</v>
      </c>
    </row>
    <row r="715" spans="1:2">
      <c r="A715">
        <v>14781124</v>
      </c>
      <c r="B715" t="s">
        <v>723</v>
      </c>
    </row>
    <row r="716" spans="1:2">
      <c r="A716">
        <v>11332024</v>
      </c>
      <c r="B716" t="s">
        <v>724</v>
      </c>
    </row>
    <row r="717" spans="1:2">
      <c r="A717">
        <v>13317061</v>
      </c>
      <c r="B717" t="s">
        <v>725</v>
      </c>
    </row>
    <row r="718" spans="1:2">
      <c r="A718">
        <v>13120117</v>
      </c>
      <c r="B718" t="s">
        <v>726</v>
      </c>
    </row>
    <row r="719" spans="1:2">
      <c r="A719">
        <v>15277759</v>
      </c>
      <c r="B719" t="s">
        <v>727</v>
      </c>
    </row>
    <row r="720" spans="1:2">
      <c r="A720">
        <v>11142539</v>
      </c>
      <c r="B720" t="s">
        <v>728</v>
      </c>
    </row>
    <row r="721" spans="1:2">
      <c r="A721">
        <v>13772316</v>
      </c>
      <c r="B721" t="s">
        <v>729</v>
      </c>
    </row>
    <row r="722" spans="1:2">
      <c r="A722">
        <v>12810207</v>
      </c>
      <c r="B722" t="s">
        <v>730</v>
      </c>
    </row>
    <row r="723" spans="1:2">
      <c r="A723">
        <v>14473911</v>
      </c>
      <c r="B723" t="s">
        <v>731</v>
      </c>
    </row>
    <row r="724" spans="1:2">
      <c r="A724">
        <v>12619417</v>
      </c>
      <c r="B724" t="s">
        <v>732</v>
      </c>
    </row>
    <row r="725" spans="1:2">
      <c r="A725">
        <v>12009890</v>
      </c>
      <c r="B725" t="s">
        <v>733</v>
      </c>
    </row>
    <row r="726" spans="1:2">
      <c r="A726">
        <v>13637340</v>
      </c>
      <c r="B726" t="s">
        <v>734</v>
      </c>
    </row>
    <row r="727" spans="1:2">
      <c r="A727">
        <v>12798335</v>
      </c>
      <c r="B727" t="s">
        <v>735</v>
      </c>
    </row>
    <row r="728" spans="1:2">
      <c r="A728">
        <v>14267079</v>
      </c>
      <c r="B728" t="s">
        <v>736</v>
      </c>
    </row>
    <row r="729" spans="1:2">
      <c r="A729">
        <v>15391512</v>
      </c>
      <c r="B729" t="s">
        <v>737</v>
      </c>
    </row>
    <row r="730" spans="1:2">
      <c r="A730">
        <v>12171696</v>
      </c>
      <c r="B730" t="s">
        <v>738</v>
      </c>
    </row>
    <row r="731" spans="1:2">
      <c r="A731">
        <v>13197883</v>
      </c>
      <c r="B731" t="s">
        <v>739</v>
      </c>
    </row>
    <row r="732" spans="1:2">
      <c r="A732">
        <v>14389418</v>
      </c>
      <c r="B732" t="s">
        <v>740</v>
      </c>
    </row>
    <row r="733" spans="1:2">
      <c r="A733">
        <v>14443463</v>
      </c>
      <c r="B733" t="s">
        <v>741</v>
      </c>
    </row>
    <row r="734" spans="1:2">
      <c r="A734">
        <v>25270</v>
      </c>
      <c r="B734" t="s">
        <v>20</v>
      </c>
    </row>
    <row r="735" spans="1:2">
      <c r="A735">
        <v>14086230</v>
      </c>
      <c r="B735" t="s">
        <v>742</v>
      </c>
    </row>
    <row r="736" spans="1:2">
      <c r="A736">
        <v>12261231</v>
      </c>
      <c r="B736" t="s">
        <v>743</v>
      </c>
    </row>
    <row r="737" spans="1:2">
      <c r="A737">
        <v>11672631</v>
      </c>
      <c r="B737" t="s">
        <v>1100</v>
      </c>
    </row>
    <row r="738" spans="1:2">
      <c r="A738">
        <v>14119261</v>
      </c>
      <c r="B738" t="s">
        <v>744</v>
      </c>
    </row>
    <row r="739" spans="1:2">
      <c r="A739">
        <v>14067716</v>
      </c>
      <c r="B739" t="s">
        <v>745</v>
      </c>
    </row>
    <row r="740" spans="1:2">
      <c r="A740">
        <v>15136590</v>
      </c>
      <c r="B740" t="s">
        <v>746</v>
      </c>
    </row>
    <row r="741" spans="1:2">
      <c r="A741">
        <v>13983008</v>
      </c>
      <c r="B741" t="s">
        <v>747</v>
      </c>
    </row>
    <row r="742" spans="1:2">
      <c r="A742">
        <v>11244871</v>
      </c>
      <c r="B742" t="s">
        <v>748</v>
      </c>
    </row>
    <row r="743" spans="1:2">
      <c r="A743">
        <v>12801150</v>
      </c>
      <c r="B743" t="s">
        <v>749</v>
      </c>
    </row>
    <row r="744" spans="1:2">
      <c r="A744">
        <v>12935781</v>
      </c>
      <c r="B744" t="s">
        <v>750</v>
      </c>
    </row>
    <row r="745" spans="1:2">
      <c r="A745">
        <v>13320132</v>
      </c>
      <c r="B745" t="s">
        <v>751</v>
      </c>
    </row>
    <row r="746" spans="1:2">
      <c r="A746">
        <v>11499516</v>
      </c>
      <c r="B746" t="s">
        <v>1101</v>
      </c>
    </row>
    <row r="747" spans="1:2">
      <c r="A747">
        <v>15376102</v>
      </c>
      <c r="B747" t="s">
        <v>752</v>
      </c>
    </row>
    <row r="748" spans="1:2">
      <c r="A748">
        <v>11927817</v>
      </c>
      <c r="B748" t="s">
        <v>753</v>
      </c>
    </row>
    <row r="749" spans="1:2">
      <c r="A749">
        <v>12063895</v>
      </c>
      <c r="B749" t="s">
        <v>754</v>
      </c>
    </row>
    <row r="750" spans="1:2">
      <c r="A750">
        <v>14879832</v>
      </c>
      <c r="B750" t="s">
        <v>755</v>
      </c>
    </row>
    <row r="751" spans="1:2">
      <c r="A751">
        <v>14312892</v>
      </c>
      <c r="B751" t="s">
        <v>756</v>
      </c>
    </row>
    <row r="752" spans="1:2">
      <c r="A752">
        <v>13454918</v>
      </c>
      <c r="B752" t="s">
        <v>757</v>
      </c>
    </row>
    <row r="753" spans="1:2">
      <c r="A753">
        <v>13162604</v>
      </c>
      <c r="B753" t="s">
        <v>758</v>
      </c>
    </row>
    <row r="754" spans="1:2">
      <c r="A754">
        <v>11958534</v>
      </c>
      <c r="B754" t="s">
        <v>759</v>
      </c>
    </row>
    <row r="755" spans="1:2">
      <c r="A755">
        <v>12405870</v>
      </c>
      <c r="B755" t="s">
        <v>760</v>
      </c>
    </row>
    <row r="756" spans="1:2">
      <c r="A756">
        <v>11332659</v>
      </c>
      <c r="B756" t="s">
        <v>761</v>
      </c>
    </row>
    <row r="757" spans="1:2">
      <c r="A757">
        <v>14879769</v>
      </c>
      <c r="B757" t="s">
        <v>762</v>
      </c>
    </row>
    <row r="758" spans="1:2">
      <c r="A758">
        <v>155308</v>
      </c>
      <c r="B758" t="s">
        <v>763</v>
      </c>
    </row>
    <row r="759" spans="1:2">
      <c r="A759">
        <v>14488270</v>
      </c>
      <c r="B759" t="s">
        <v>764</v>
      </c>
    </row>
    <row r="760" spans="1:2">
      <c r="A760">
        <v>15026563</v>
      </c>
      <c r="B760" t="s">
        <v>765</v>
      </c>
    </row>
    <row r="761" spans="1:2">
      <c r="A761">
        <v>12415684</v>
      </c>
      <c r="B761" t="s">
        <v>766</v>
      </c>
    </row>
    <row r="762" spans="1:2">
      <c r="A762">
        <v>61110</v>
      </c>
      <c r="B762" t="s">
        <v>767</v>
      </c>
    </row>
    <row r="763" spans="1:2">
      <c r="A763">
        <v>14099929</v>
      </c>
      <c r="B763" t="s">
        <v>768</v>
      </c>
    </row>
    <row r="764" spans="1:2">
      <c r="A764">
        <v>11509989</v>
      </c>
      <c r="B764" t="s">
        <v>769</v>
      </c>
    </row>
    <row r="765" spans="1:2">
      <c r="A765">
        <v>11194180</v>
      </c>
      <c r="B765" t="s">
        <v>770</v>
      </c>
    </row>
    <row r="766" spans="1:2">
      <c r="A766">
        <v>15209935</v>
      </c>
      <c r="B766" t="s">
        <v>771</v>
      </c>
    </row>
    <row r="767" spans="1:2">
      <c r="A767">
        <v>13601070</v>
      </c>
      <c r="B767" t="s">
        <v>772</v>
      </c>
    </row>
    <row r="768" spans="1:2">
      <c r="A768">
        <v>12870388</v>
      </c>
      <c r="B768" t="s">
        <v>773</v>
      </c>
    </row>
    <row r="769" spans="1:2">
      <c r="A769">
        <v>15258474</v>
      </c>
      <c r="B769" t="s">
        <v>774</v>
      </c>
    </row>
    <row r="770" spans="1:2">
      <c r="A770">
        <v>13666691</v>
      </c>
      <c r="B770" t="s">
        <v>775</v>
      </c>
    </row>
    <row r="771" spans="1:2">
      <c r="A771">
        <v>12250248</v>
      </c>
      <c r="B771" t="s">
        <v>776</v>
      </c>
    </row>
    <row r="772" spans="1:2">
      <c r="A772">
        <v>12176477</v>
      </c>
      <c r="B772" t="s">
        <v>777</v>
      </c>
    </row>
    <row r="773" spans="1:2">
      <c r="A773">
        <v>14384224</v>
      </c>
      <c r="B773" t="s">
        <v>778</v>
      </c>
    </row>
    <row r="774" spans="1:2">
      <c r="A774">
        <v>14286667</v>
      </c>
      <c r="B774" t="s">
        <v>779</v>
      </c>
    </row>
    <row r="775" spans="1:2">
      <c r="A775">
        <v>58349</v>
      </c>
      <c r="B775" t="s">
        <v>780</v>
      </c>
    </row>
    <row r="776" spans="1:2">
      <c r="A776">
        <v>14479701</v>
      </c>
      <c r="B776" t="s">
        <v>781</v>
      </c>
    </row>
    <row r="777" spans="1:2">
      <c r="A777">
        <v>14869524</v>
      </c>
      <c r="B777" t="s">
        <v>782</v>
      </c>
    </row>
    <row r="778" spans="1:2">
      <c r="A778">
        <v>13469194</v>
      </c>
      <c r="B778" t="s">
        <v>783</v>
      </c>
    </row>
    <row r="779" spans="1:2">
      <c r="A779">
        <v>14729501</v>
      </c>
      <c r="B779" t="s">
        <v>784</v>
      </c>
    </row>
    <row r="780" spans="1:2">
      <c r="A780">
        <v>13758130</v>
      </c>
      <c r="B780" t="s">
        <v>785</v>
      </c>
    </row>
    <row r="781" spans="1:2">
      <c r="A781">
        <v>15332021</v>
      </c>
      <c r="B781" t="s">
        <v>786</v>
      </c>
    </row>
    <row r="782" spans="1:2">
      <c r="A782">
        <v>13777301</v>
      </c>
      <c r="B782" t="s">
        <v>787</v>
      </c>
    </row>
    <row r="783" spans="1:2">
      <c r="A783">
        <v>14085025</v>
      </c>
      <c r="B783" t="s">
        <v>788</v>
      </c>
    </row>
    <row r="784" spans="1:2">
      <c r="A784">
        <v>14602794</v>
      </c>
      <c r="B784" t="s">
        <v>789</v>
      </c>
    </row>
    <row r="785" spans="1:2">
      <c r="A785">
        <v>13343841</v>
      </c>
      <c r="B785" t="s">
        <v>790</v>
      </c>
    </row>
    <row r="786" spans="1:2">
      <c r="A786">
        <v>12803760</v>
      </c>
      <c r="B786" t="s">
        <v>791</v>
      </c>
    </row>
    <row r="787" spans="1:2">
      <c r="A787">
        <v>12428595</v>
      </c>
      <c r="B787" t="s">
        <v>792</v>
      </c>
    </row>
    <row r="788" spans="1:2">
      <c r="A788">
        <v>14644035</v>
      </c>
      <c r="B788" t="s">
        <v>793</v>
      </c>
    </row>
    <row r="789" spans="1:2">
      <c r="A789">
        <v>11372718</v>
      </c>
      <c r="B789" t="s">
        <v>794</v>
      </c>
    </row>
    <row r="790" spans="1:2">
      <c r="A790">
        <v>12575499</v>
      </c>
      <c r="B790" t="s">
        <v>795</v>
      </c>
    </row>
    <row r="791" spans="1:2">
      <c r="A791">
        <v>14186665</v>
      </c>
      <c r="B791" t="s">
        <v>796</v>
      </c>
    </row>
    <row r="792" spans="1:2">
      <c r="A792">
        <v>128733</v>
      </c>
      <c r="B792" t="s">
        <v>797</v>
      </c>
    </row>
    <row r="793" spans="1:2">
      <c r="A793">
        <v>14886011</v>
      </c>
      <c r="B793" t="s">
        <v>798</v>
      </c>
    </row>
    <row r="794" spans="1:2">
      <c r="A794">
        <v>12835752</v>
      </c>
      <c r="B794" t="s">
        <v>799</v>
      </c>
    </row>
    <row r="795" spans="1:2">
      <c r="A795">
        <v>12485994</v>
      </c>
      <c r="B795" t="s">
        <v>800</v>
      </c>
    </row>
    <row r="796" spans="1:2">
      <c r="A796">
        <v>13891187</v>
      </c>
      <c r="B796" t="s">
        <v>801</v>
      </c>
    </row>
    <row r="797" spans="1:2">
      <c r="A797">
        <v>14788759</v>
      </c>
      <c r="B797" t="s">
        <v>802</v>
      </c>
    </row>
    <row r="798" spans="1:2">
      <c r="A798">
        <v>12148124</v>
      </c>
      <c r="B798" t="s">
        <v>803</v>
      </c>
    </row>
    <row r="799" spans="1:2">
      <c r="A799">
        <v>13702186</v>
      </c>
      <c r="B799" t="s">
        <v>804</v>
      </c>
    </row>
    <row r="800" spans="1:2">
      <c r="A800">
        <v>309177</v>
      </c>
      <c r="B800" t="s">
        <v>805</v>
      </c>
    </row>
    <row r="801" spans="1:2">
      <c r="A801">
        <v>12879449</v>
      </c>
      <c r="B801" t="s">
        <v>806</v>
      </c>
    </row>
    <row r="802" spans="1:2">
      <c r="A802">
        <v>11783993</v>
      </c>
      <c r="B802" t="s">
        <v>807</v>
      </c>
    </row>
    <row r="803" spans="1:2">
      <c r="A803">
        <v>12172049</v>
      </c>
      <c r="B803" t="s">
        <v>808</v>
      </c>
    </row>
    <row r="804" spans="1:2">
      <c r="A804">
        <v>14921964</v>
      </c>
      <c r="B804" t="s">
        <v>809</v>
      </c>
    </row>
    <row r="805" spans="1:2">
      <c r="A805">
        <v>12749610</v>
      </c>
      <c r="B805" t="s">
        <v>810</v>
      </c>
    </row>
    <row r="806" spans="1:2">
      <c r="A806">
        <v>13611497</v>
      </c>
      <c r="B806" t="s">
        <v>811</v>
      </c>
    </row>
    <row r="807" spans="1:2">
      <c r="A807">
        <v>14020960</v>
      </c>
      <c r="B807" t="s">
        <v>812</v>
      </c>
    </row>
    <row r="808" spans="1:2">
      <c r="A808">
        <v>14616601</v>
      </c>
      <c r="B808" t="s">
        <v>813</v>
      </c>
    </row>
    <row r="809" spans="1:2">
      <c r="A809">
        <v>330771</v>
      </c>
      <c r="B809" t="s">
        <v>814</v>
      </c>
    </row>
    <row r="810" spans="1:2">
      <c r="A810">
        <v>13232377</v>
      </c>
      <c r="B810" t="s">
        <v>815</v>
      </c>
    </row>
    <row r="811" spans="1:2">
      <c r="A811">
        <v>11032806</v>
      </c>
      <c r="B811" t="s">
        <v>816</v>
      </c>
    </row>
    <row r="812" spans="1:2">
      <c r="A812">
        <v>14725367</v>
      </c>
      <c r="B812" t="s">
        <v>817</v>
      </c>
    </row>
    <row r="813" spans="1:2">
      <c r="A813">
        <v>12651054</v>
      </c>
      <c r="B813" t="s">
        <v>818</v>
      </c>
    </row>
    <row r="814" spans="1:2">
      <c r="A814">
        <v>14065549</v>
      </c>
      <c r="B814" t="s">
        <v>819</v>
      </c>
    </row>
    <row r="815" spans="1:2">
      <c r="A815">
        <v>13454744</v>
      </c>
      <c r="B815" t="s">
        <v>820</v>
      </c>
    </row>
    <row r="816" spans="1:2">
      <c r="A816">
        <v>13443166</v>
      </c>
      <c r="B816" t="s">
        <v>821</v>
      </c>
    </row>
    <row r="817" spans="1:2">
      <c r="A817">
        <v>14841592</v>
      </c>
      <c r="B817" t="s">
        <v>822</v>
      </c>
    </row>
    <row r="818" spans="1:2">
      <c r="A818">
        <v>14386540</v>
      </c>
      <c r="B818" t="s">
        <v>823</v>
      </c>
    </row>
    <row r="819" spans="1:2">
      <c r="A819">
        <v>15074121</v>
      </c>
      <c r="B819" t="s">
        <v>824</v>
      </c>
    </row>
    <row r="820" spans="1:2">
      <c r="A820">
        <v>106714</v>
      </c>
      <c r="B820" t="s">
        <v>825</v>
      </c>
    </row>
    <row r="821" spans="1:2">
      <c r="A821">
        <v>11514622</v>
      </c>
      <c r="B821" t="s">
        <v>826</v>
      </c>
    </row>
    <row r="822" spans="1:2">
      <c r="A822">
        <v>13824965</v>
      </c>
      <c r="B822" t="s">
        <v>827</v>
      </c>
    </row>
    <row r="823" spans="1:2">
      <c r="A823">
        <v>12834261</v>
      </c>
      <c r="B823" t="s">
        <v>828</v>
      </c>
    </row>
    <row r="824" spans="1:2">
      <c r="A824">
        <v>12624868</v>
      </c>
      <c r="B824" t="s">
        <v>829</v>
      </c>
    </row>
    <row r="825" spans="1:2">
      <c r="A825">
        <v>11966937</v>
      </c>
      <c r="B825" t="s">
        <v>830</v>
      </c>
    </row>
    <row r="826" spans="1:2">
      <c r="A826">
        <v>14494738</v>
      </c>
      <c r="B826" t="s">
        <v>831</v>
      </c>
    </row>
    <row r="827" spans="1:2">
      <c r="A827">
        <v>14033800</v>
      </c>
      <c r="B827" t="s">
        <v>832</v>
      </c>
    </row>
    <row r="828" spans="1:2">
      <c r="A828">
        <v>11544535</v>
      </c>
      <c r="B828" t="s">
        <v>833</v>
      </c>
    </row>
    <row r="829" spans="1:2">
      <c r="A829">
        <v>11969899</v>
      </c>
      <c r="B829" t="s">
        <v>834</v>
      </c>
    </row>
    <row r="830" spans="1:2">
      <c r="A830">
        <v>13889596</v>
      </c>
      <c r="B830" t="s">
        <v>835</v>
      </c>
    </row>
    <row r="831" spans="1:2">
      <c r="A831">
        <v>173988</v>
      </c>
      <c r="B831" t="s">
        <v>1102</v>
      </c>
    </row>
    <row r="832" spans="1:2">
      <c r="A832">
        <v>11104213</v>
      </c>
      <c r="B832" t="s">
        <v>836</v>
      </c>
    </row>
    <row r="833" spans="1:2">
      <c r="A833">
        <v>11205823</v>
      </c>
      <c r="B833" t="s">
        <v>837</v>
      </c>
    </row>
    <row r="834" spans="1:2">
      <c r="A834">
        <v>11611037</v>
      </c>
      <c r="B834" t="s">
        <v>838</v>
      </c>
    </row>
    <row r="835" spans="1:2">
      <c r="A835">
        <v>14566390</v>
      </c>
      <c r="B835" t="s">
        <v>839</v>
      </c>
    </row>
    <row r="836" spans="1:2">
      <c r="A836">
        <v>12776327</v>
      </c>
      <c r="B836" t="s">
        <v>840</v>
      </c>
    </row>
    <row r="837" spans="1:2">
      <c r="A837">
        <v>11580699</v>
      </c>
      <c r="B837" t="s">
        <v>841</v>
      </c>
    </row>
    <row r="838" spans="1:2">
      <c r="A838">
        <v>13603760</v>
      </c>
      <c r="B838" t="s">
        <v>842</v>
      </c>
    </row>
    <row r="839" spans="1:2">
      <c r="A839">
        <v>13716829</v>
      </c>
      <c r="B839" t="s">
        <v>843</v>
      </c>
    </row>
    <row r="840" spans="1:2">
      <c r="A840">
        <v>15012952</v>
      </c>
      <c r="B840" t="s">
        <v>844</v>
      </c>
    </row>
    <row r="841" spans="1:2">
      <c r="A841">
        <v>317381</v>
      </c>
      <c r="B841" t="s">
        <v>845</v>
      </c>
    </row>
    <row r="842" spans="1:2">
      <c r="A842">
        <v>11805140</v>
      </c>
      <c r="B842" t="s">
        <v>1103</v>
      </c>
    </row>
    <row r="843" spans="1:2">
      <c r="A843">
        <v>11328858</v>
      </c>
      <c r="B843" t="s">
        <v>846</v>
      </c>
    </row>
    <row r="844" spans="1:2">
      <c r="A844">
        <v>12146863</v>
      </c>
      <c r="B844" t="s">
        <v>847</v>
      </c>
    </row>
    <row r="845" spans="1:2">
      <c r="A845">
        <v>11487832</v>
      </c>
      <c r="B845" t="s">
        <v>848</v>
      </c>
    </row>
    <row r="846" spans="1:2">
      <c r="A846">
        <v>12564386</v>
      </c>
      <c r="B846" t="s">
        <v>849</v>
      </c>
    </row>
    <row r="847" spans="1:2">
      <c r="A847">
        <v>11065854</v>
      </c>
      <c r="B847" t="s">
        <v>850</v>
      </c>
    </row>
    <row r="848" spans="1:2">
      <c r="A848">
        <v>13598424</v>
      </c>
      <c r="B848" t="s">
        <v>851</v>
      </c>
    </row>
    <row r="849" spans="1:2">
      <c r="A849">
        <v>15171713</v>
      </c>
      <c r="B849" t="s">
        <v>852</v>
      </c>
    </row>
    <row r="850" spans="1:2">
      <c r="A850">
        <v>13642765</v>
      </c>
      <c r="B850" t="s">
        <v>853</v>
      </c>
    </row>
    <row r="851" spans="1:2">
      <c r="A851">
        <v>14793706</v>
      </c>
      <c r="B851" t="s">
        <v>854</v>
      </c>
    </row>
    <row r="852" spans="1:2">
      <c r="A852">
        <v>14563459</v>
      </c>
      <c r="B852" t="s">
        <v>855</v>
      </c>
    </row>
    <row r="853" spans="1:2">
      <c r="A853">
        <v>14731038</v>
      </c>
      <c r="B853" t="s">
        <v>856</v>
      </c>
    </row>
    <row r="854" spans="1:2">
      <c r="A854">
        <v>13807324</v>
      </c>
      <c r="B854" t="s">
        <v>857</v>
      </c>
    </row>
    <row r="855" spans="1:2">
      <c r="A855">
        <v>12636017</v>
      </c>
      <c r="B855" t="s">
        <v>858</v>
      </c>
    </row>
    <row r="856" spans="1:2">
      <c r="A856">
        <v>294423</v>
      </c>
      <c r="B856" t="s">
        <v>859</v>
      </c>
    </row>
    <row r="857" spans="1:2">
      <c r="A857">
        <v>12252679</v>
      </c>
      <c r="B857" t="s">
        <v>860</v>
      </c>
    </row>
    <row r="858" spans="1:2">
      <c r="A858">
        <v>13621766</v>
      </c>
      <c r="B858" t="s">
        <v>861</v>
      </c>
    </row>
    <row r="859" spans="1:2">
      <c r="A859">
        <v>13812419</v>
      </c>
      <c r="B859" t="s">
        <v>862</v>
      </c>
    </row>
    <row r="860" spans="1:2">
      <c r="A860">
        <v>12582449</v>
      </c>
      <c r="B860" t="s">
        <v>863</v>
      </c>
    </row>
    <row r="861" spans="1:2">
      <c r="A861">
        <v>14775678</v>
      </c>
      <c r="B861" t="s">
        <v>864</v>
      </c>
    </row>
    <row r="862" spans="1:2">
      <c r="A862">
        <v>14951564</v>
      </c>
      <c r="B862" t="s">
        <v>865</v>
      </c>
    </row>
    <row r="863" spans="1:2">
      <c r="A863">
        <v>11856711</v>
      </c>
      <c r="B863" t="s">
        <v>866</v>
      </c>
    </row>
    <row r="864" spans="1:2">
      <c r="A864">
        <v>14638971</v>
      </c>
      <c r="B864" t="s">
        <v>867</v>
      </c>
    </row>
    <row r="865" spans="1:2">
      <c r="A865">
        <v>15080067</v>
      </c>
      <c r="B865" t="s">
        <v>868</v>
      </c>
    </row>
    <row r="866" spans="1:2">
      <c r="A866">
        <v>14535559</v>
      </c>
      <c r="B866" t="s">
        <v>869</v>
      </c>
    </row>
    <row r="867" spans="1:2">
      <c r="A867">
        <v>14847031</v>
      </c>
      <c r="B867" t="s">
        <v>870</v>
      </c>
    </row>
    <row r="868" spans="1:2">
      <c r="A868">
        <v>187272</v>
      </c>
      <c r="B868" t="s">
        <v>1104</v>
      </c>
    </row>
    <row r="869" spans="1:2">
      <c r="A869">
        <v>11360399</v>
      </c>
      <c r="B869" t="s">
        <v>871</v>
      </c>
    </row>
    <row r="870" spans="1:2">
      <c r="A870">
        <v>14492125</v>
      </c>
      <c r="B870" t="s">
        <v>872</v>
      </c>
    </row>
    <row r="871" spans="1:2">
      <c r="A871">
        <v>14239575</v>
      </c>
      <c r="B871" t="s">
        <v>873</v>
      </c>
    </row>
    <row r="872" spans="1:2">
      <c r="A872">
        <v>13827465</v>
      </c>
      <c r="B872" t="s">
        <v>874</v>
      </c>
    </row>
    <row r="873" spans="1:2">
      <c r="A873">
        <v>15285132</v>
      </c>
      <c r="B873" t="s">
        <v>875</v>
      </c>
    </row>
    <row r="874" spans="1:2">
      <c r="A874">
        <v>12200433</v>
      </c>
      <c r="B874" t="s">
        <v>876</v>
      </c>
    </row>
    <row r="875" spans="1:2">
      <c r="A875">
        <v>13304115</v>
      </c>
      <c r="B875" t="s">
        <v>877</v>
      </c>
    </row>
    <row r="876" spans="1:2">
      <c r="A876">
        <v>11581609</v>
      </c>
      <c r="B876" t="s">
        <v>878</v>
      </c>
    </row>
    <row r="877" spans="1:2">
      <c r="A877">
        <v>13358937</v>
      </c>
      <c r="B877" t="s">
        <v>879</v>
      </c>
    </row>
    <row r="878" spans="1:2">
      <c r="A878">
        <v>12403748</v>
      </c>
      <c r="B878" t="s">
        <v>880</v>
      </c>
    </row>
    <row r="879" spans="1:2">
      <c r="A879">
        <v>12937055</v>
      </c>
      <c r="B879" t="s">
        <v>881</v>
      </c>
    </row>
    <row r="880" spans="1:2">
      <c r="A880">
        <v>12341980</v>
      </c>
      <c r="B880" t="s">
        <v>882</v>
      </c>
    </row>
    <row r="881" spans="1:2">
      <c r="A881">
        <v>13961005</v>
      </c>
      <c r="B881" t="s">
        <v>883</v>
      </c>
    </row>
    <row r="882" spans="1:2">
      <c r="A882">
        <v>14616384</v>
      </c>
      <c r="B882" t="s">
        <v>884</v>
      </c>
    </row>
    <row r="883" spans="1:2">
      <c r="A883">
        <v>14745474</v>
      </c>
      <c r="B883" t="s">
        <v>885</v>
      </c>
    </row>
    <row r="884" spans="1:2">
      <c r="A884">
        <v>12673465</v>
      </c>
      <c r="B884" t="s">
        <v>886</v>
      </c>
    </row>
    <row r="885" spans="1:2">
      <c r="A885">
        <v>12110600</v>
      </c>
      <c r="B885" t="s">
        <v>887</v>
      </c>
    </row>
    <row r="886" spans="1:2">
      <c r="A886">
        <v>14186062</v>
      </c>
      <c r="B886" t="s">
        <v>888</v>
      </c>
    </row>
    <row r="887" spans="1:2">
      <c r="A887">
        <v>12729051</v>
      </c>
      <c r="B887" t="s">
        <v>889</v>
      </c>
    </row>
    <row r="888" spans="1:2">
      <c r="A888">
        <v>12678578</v>
      </c>
      <c r="B888" t="s">
        <v>890</v>
      </c>
    </row>
    <row r="889" spans="1:2">
      <c r="A889">
        <v>14544441</v>
      </c>
      <c r="B889" t="s">
        <v>891</v>
      </c>
    </row>
    <row r="890" spans="1:2">
      <c r="A890">
        <v>12874314</v>
      </c>
      <c r="B890" t="s">
        <v>892</v>
      </c>
    </row>
    <row r="891" spans="1:2">
      <c r="A891">
        <v>13426173</v>
      </c>
      <c r="B891" t="s">
        <v>893</v>
      </c>
    </row>
    <row r="892" spans="1:2">
      <c r="A892">
        <v>12087192</v>
      </c>
      <c r="B892" t="s">
        <v>1105</v>
      </c>
    </row>
    <row r="893" spans="1:2">
      <c r="A893">
        <v>15326815</v>
      </c>
      <c r="B893" t="s">
        <v>894</v>
      </c>
    </row>
    <row r="894" spans="1:2">
      <c r="A894">
        <v>329253</v>
      </c>
      <c r="B894" t="s">
        <v>895</v>
      </c>
    </row>
    <row r="895" spans="1:2">
      <c r="A895">
        <v>12202302</v>
      </c>
      <c r="B895" t="s">
        <v>896</v>
      </c>
    </row>
    <row r="896" spans="1:2">
      <c r="A896">
        <v>13815773</v>
      </c>
      <c r="B896" t="s">
        <v>897</v>
      </c>
    </row>
    <row r="897" spans="1:2">
      <c r="A897">
        <v>13907792</v>
      </c>
      <c r="B897" t="s">
        <v>898</v>
      </c>
    </row>
    <row r="898" spans="1:2">
      <c r="A898">
        <v>11464399</v>
      </c>
      <c r="B898" t="s">
        <v>899</v>
      </c>
    </row>
    <row r="899" spans="1:2">
      <c r="A899">
        <v>15055935</v>
      </c>
      <c r="B899" t="s">
        <v>900</v>
      </c>
    </row>
    <row r="900" spans="1:2">
      <c r="A900">
        <v>11174037</v>
      </c>
      <c r="B900" t="s">
        <v>901</v>
      </c>
    </row>
    <row r="901" spans="1:2">
      <c r="A901">
        <v>14706365</v>
      </c>
      <c r="B901" t="s">
        <v>902</v>
      </c>
    </row>
    <row r="902" spans="1:2">
      <c r="A902">
        <v>13998272</v>
      </c>
      <c r="B902" t="s">
        <v>903</v>
      </c>
    </row>
    <row r="903" spans="1:2">
      <c r="A903">
        <v>11599970</v>
      </c>
      <c r="B903" t="s">
        <v>904</v>
      </c>
    </row>
    <row r="904" spans="1:2">
      <c r="A904">
        <v>14574224</v>
      </c>
      <c r="B904" t="s">
        <v>905</v>
      </c>
    </row>
    <row r="905" spans="1:2">
      <c r="A905">
        <v>11486840</v>
      </c>
      <c r="B905" t="s">
        <v>906</v>
      </c>
    </row>
    <row r="906" spans="1:2">
      <c r="A906">
        <v>11231942</v>
      </c>
      <c r="B906" t="s">
        <v>907</v>
      </c>
    </row>
    <row r="907" spans="1:2">
      <c r="A907">
        <v>13514739</v>
      </c>
      <c r="B907" t="s">
        <v>908</v>
      </c>
    </row>
    <row r="908" spans="1:2">
      <c r="A908">
        <v>13598668</v>
      </c>
      <c r="B908" t="s">
        <v>1106</v>
      </c>
    </row>
    <row r="909" spans="1:2">
      <c r="A909">
        <v>127947</v>
      </c>
      <c r="B909" t="s">
        <v>909</v>
      </c>
    </row>
    <row r="910" spans="1:2">
      <c r="A910">
        <v>14859348</v>
      </c>
      <c r="B910" t="s">
        <v>910</v>
      </c>
    </row>
    <row r="911" spans="1:2">
      <c r="A911">
        <v>12217761</v>
      </c>
      <c r="B911" t="s">
        <v>911</v>
      </c>
    </row>
    <row r="912" spans="1:2">
      <c r="A912">
        <v>14598174</v>
      </c>
      <c r="B912" t="s">
        <v>912</v>
      </c>
    </row>
    <row r="913" spans="1:2">
      <c r="A913">
        <v>14524558</v>
      </c>
      <c r="B913" t="s">
        <v>913</v>
      </c>
    </row>
    <row r="914" spans="1:2">
      <c r="A914">
        <v>11742459</v>
      </c>
      <c r="B914" t="s">
        <v>914</v>
      </c>
    </row>
    <row r="915" spans="1:2">
      <c r="A915">
        <v>11456554</v>
      </c>
      <c r="B915" t="s">
        <v>915</v>
      </c>
    </row>
    <row r="916" spans="1:2">
      <c r="A916">
        <v>12337035</v>
      </c>
      <c r="B916" t="s">
        <v>916</v>
      </c>
    </row>
    <row r="917" spans="1:2">
      <c r="A917">
        <v>11247102</v>
      </c>
      <c r="B917" t="s">
        <v>1107</v>
      </c>
    </row>
    <row r="918" spans="1:2">
      <c r="A918">
        <v>196260</v>
      </c>
      <c r="B918" t="s">
        <v>917</v>
      </c>
    </row>
    <row r="919" spans="1:2">
      <c r="A919">
        <v>15054658</v>
      </c>
      <c r="B919" t="s">
        <v>918</v>
      </c>
    </row>
    <row r="920" spans="1:2">
      <c r="A920">
        <v>13570583</v>
      </c>
      <c r="B920" t="s">
        <v>919</v>
      </c>
    </row>
    <row r="921" spans="1:2">
      <c r="A921">
        <v>15087162</v>
      </c>
      <c r="B921" t="s">
        <v>920</v>
      </c>
    </row>
    <row r="922" spans="1:2">
      <c r="A922">
        <v>14773742</v>
      </c>
      <c r="B922" t="s">
        <v>921</v>
      </c>
    </row>
    <row r="923" spans="1:2">
      <c r="A923">
        <v>14874217</v>
      </c>
      <c r="B923" t="s">
        <v>922</v>
      </c>
    </row>
    <row r="924" spans="1:2">
      <c r="A924">
        <v>14999728</v>
      </c>
      <c r="B924" t="s">
        <v>923</v>
      </c>
    </row>
    <row r="925" spans="1:2">
      <c r="A925">
        <v>11361607</v>
      </c>
      <c r="B925" t="s">
        <v>924</v>
      </c>
    </row>
    <row r="926" spans="1:2">
      <c r="A926">
        <v>14449475</v>
      </c>
      <c r="B926" t="s">
        <v>925</v>
      </c>
    </row>
    <row r="927" spans="1:2">
      <c r="A927">
        <v>12366648</v>
      </c>
      <c r="B927" t="s">
        <v>926</v>
      </c>
    </row>
    <row r="928" spans="1:2">
      <c r="A928">
        <v>11734879</v>
      </c>
      <c r="B928" t="s">
        <v>927</v>
      </c>
    </row>
    <row r="929" spans="1:2">
      <c r="A929">
        <v>14316738</v>
      </c>
      <c r="B929" t="s">
        <v>928</v>
      </c>
    </row>
    <row r="930" spans="1:2">
      <c r="A930">
        <v>12184883</v>
      </c>
      <c r="B930" t="s">
        <v>929</v>
      </c>
    </row>
    <row r="931" spans="1:2">
      <c r="A931">
        <v>14434388</v>
      </c>
      <c r="B931" t="s">
        <v>930</v>
      </c>
    </row>
    <row r="932" spans="1:2">
      <c r="A932">
        <v>14263674</v>
      </c>
      <c r="B932" t="s">
        <v>931</v>
      </c>
    </row>
    <row r="933" spans="1:2">
      <c r="A933">
        <v>14319678</v>
      </c>
      <c r="B933" t="s">
        <v>932</v>
      </c>
    </row>
    <row r="934" spans="1:2">
      <c r="A934">
        <v>44914</v>
      </c>
      <c r="B934" t="s">
        <v>933</v>
      </c>
    </row>
    <row r="935" spans="1:2">
      <c r="A935">
        <v>11074898</v>
      </c>
      <c r="B935" t="s">
        <v>934</v>
      </c>
    </row>
    <row r="936" spans="1:2">
      <c r="A936">
        <v>14225146</v>
      </c>
      <c r="B936" t="s">
        <v>935</v>
      </c>
    </row>
    <row r="937" spans="1:2">
      <c r="A937">
        <v>15328955</v>
      </c>
      <c r="B937" t="s">
        <v>936</v>
      </c>
    </row>
    <row r="938" spans="1:2">
      <c r="A938">
        <v>15229345</v>
      </c>
      <c r="B938" t="s">
        <v>937</v>
      </c>
    </row>
    <row r="939" spans="1:2">
      <c r="A939">
        <v>13635827</v>
      </c>
      <c r="B939" t="s">
        <v>938</v>
      </c>
    </row>
    <row r="940" spans="1:2">
      <c r="A940">
        <v>11978620</v>
      </c>
      <c r="B940" t="s">
        <v>939</v>
      </c>
    </row>
    <row r="941" spans="1:2">
      <c r="A941">
        <v>14262183</v>
      </c>
      <c r="B941" t="s">
        <v>940</v>
      </c>
    </row>
    <row r="942" spans="1:2">
      <c r="A942">
        <v>11635098</v>
      </c>
      <c r="B942" t="s">
        <v>941</v>
      </c>
    </row>
    <row r="943" spans="1:2">
      <c r="A943">
        <v>12084796</v>
      </c>
      <c r="B943" t="s">
        <v>942</v>
      </c>
    </row>
    <row r="944" spans="1:2">
      <c r="A944">
        <v>14957189</v>
      </c>
      <c r="B944" t="s">
        <v>943</v>
      </c>
    </row>
    <row r="945" spans="1:2">
      <c r="A945">
        <v>11267031</v>
      </c>
      <c r="B945" t="s">
        <v>944</v>
      </c>
    </row>
    <row r="946" spans="1:2">
      <c r="A946">
        <v>11212032</v>
      </c>
      <c r="B946" t="s">
        <v>945</v>
      </c>
    </row>
    <row r="947" spans="1:2">
      <c r="A947">
        <v>14877075</v>
      </c>
      <c r="B947" t="s">
        <v>946</v>
      </c>
    </row>
    <row r="948" spans="1:2">
      <c r="A948">
        <v>13563339</v>
      </c>
      <c r="B948" t="s">
        <v>947</v>
      </c>
    </row>
    <row r="949" spans="1:2">
      <c r="A949">
        <v>12192974</v>
      </c>
      <c r="B949" t="s">
        <v>948</v>
      </c>
    </row>
    <row r="950" spans="1:2">
      <c r="A950">
        <v>12301255</v>
      </c>
      <c r="B950" t="s">
        <v>949</v>
      </c>
    </row>
    <row r="951" spans="1:2">
      <c r="A951">
        <v>13188836</v>
      </c>
      <c r="B951" t="s">
        <v>950</v>
      </c>
    </row>
    <row r="952" spans="1:2">
      <c r="A952">
        <v>11094345</v>
      </c>
      <c r="B952" t="s">
        <v>951</v>
      </c>
    </row>
    <row r="953" spans="1:2">
      <c r="A953">
        <v>11047832</v>
      </c>
      <c r="B953" t="s">
        <v>952</v>
      </c>
    </row>
    <row r="954" spans="1:2">
      <c r="A954">
        <v>14906303</v>
      </c>
      <c r="B954" t="s">
        <v>953</v>
      </c>
    </row>
    <row r="955" spans="1:2">
      <c r="A955">
        <v>12423816</v>
      </c>
      <c r="B955" t="s">
        <v>954</v>
      </c>
    </row>
    <row r="956" spans="1:2">
      <c r="A956">
        <v>212210</v>
      </c>
      <c r="B956" t="s">
        <v>955</v>
      </c>
    </row>
    <row r="957" spans="1:2">
      <c r="A957">
        <v>15141609</v>
      </c>
      <c r="B957" t="s">
        <v>956</v>
      </c>
    </row>
    <row r="958" spans="1:2">
      <c r="A958">
        <v>13763828</v>
      </c>
      <c r="B958" t="s">
        <v>957</v>
      </c>
    </row>
    <row r="959" spans="1:2">
      <c r="A959">
        <v>13429375</v>
      </c>
      <c r="B959" t="s">
        <v>958</v>
      </c>
    </row>
    <row r="960" spans="1:2">
      <c r="A960">
        <v>11067492</v>
      </c>
      <c r="B960" t="s">
        <v>959</v>
      </c>
    </row>
    <row r="961" spans="1:2">
      <c r="A961">
        <v>12624710</v>
      </c>
      <c r="B961" t="s">
        <v>960</v>
      </c>
    </row>
    <row r="962" spans="1:2">
      <c r="A962">
        <v>11597579</v>
      </c>
      <c r="B962" t="s">
        <v>961</v>
      </c>
    </row>
    <row r="963" spans="1:2">
      <c r="A963">
        <v>12813539</v>
      </c>
      <c r="B963" t="s">
        <v>962</v>
      </c>
    </row>
    <row r="964" spans="1:2">
      <c r="A964">
        <v>12928959</v>
      </c>
      <c r="B964" t="s">
        <v>963</v>
      </c>
    </row>
    <row r="965" spans="1:2">
      <c r="A965">
        <v>13598123</v>
      </c>
      <c r="B965" t="s">
        <v>964</v>
      </c>
    </row>
    <row r="966" spans="1:2">
      <c r="A966">
        <v>13812919</v>
      </c>
      <c r="B966" t="s">
        <v>1108</v>
      </c>
    </row>
    <row r="967" spans="1:2">
      <c r="A967">
        <v>11264734</v>
      </c>
      <c r="B967" t="s">
        <v>965</v>
      </c>
    </row>
    <row r="968" spans="1:2">
      <c r="A968">
        <v>11002249</v>
      </c>
      <c r="B968" t="s">
        <v>966</v>
      </c>
    </row>
    <row r="969" spans="1:2">
      <c r="A969">
        <v>11685271</v>
      </c>
      <c r="B969" t="s">
        <v>967</v>
      </c>
    </row>
    <row r="970" spans="1:2">
      <c r="A970">
        <v>11468052</v>
      </c>
      <c r="B970" t="s">
        <v>968</v>
      </c>
    </row>
    <row r="971" spans="1:2">
      <c r="A971">
        <v>11326896</v>
      </c>
      <c r="B971" t="s">
        <v>969</v>
      </c>
    </row>
    <row r="972" spans="1:2">
      <c r="A972">
        <v>13837137</v>
      </c>
      <c r="B972" t="s">
        <v>970</v>
      </c>
    </row>
    <row r="973" spans="1:2">
      <c r="A973">
        <v>14722780</v>
      </c>
      <c r="B973" t="s">
        <v>971</v>
      </c>
    </row>
    <row r="974" spans="1:2">
      <c r="A974">
        <v>12923729</v>
      </c>
      <c r="B974" t="s">
        <v>972</v>
      </c>
    </row>
    <row r="975" spans="1:2">
      <c r="A975">
        <v>12057400</v>
      </c>
      <c r="B975" t="s">
        <v>973</v>
      </c>
    </row>
    <row r="976" spans="1:2">
      <c r="A976">
        <v>14266356</v>
      </c>
      <c r="B976" t="s">
        <v>1109</v>
      </c>
    </row>
    <row r="977" spans="1:2">
      <c r="A977">
        <v>14747260</v>
      </c>
      <c r="B977" t="s">
        <v>974</v>
      </c>
    </row>
    <row r="978" spans="1:2">
      <c r="A978">
        <v>11004087</v>
      </c>
      <c r="B978" t="s">
        <v>975</v>
      </c>
    </row>
    <row r="979" spans="1:2">
      <c r="A979">
        <v>13999895</v>
      </c>
      <c r="B979" t="s">
        <v>976</v>
      </c>
    </row>
    <row r="980" spans="1:2">
      <c r="A980">
        <v>11038926</v>
      </c>
      <c r="B980" t="s">
        <v>977</v>
      </c>
    </row>
    <row r="981" spans="1:2">
      <c r="A981">
        <v>15221037</v>
      </c>
      <c r="B981" t="s">
        <v>978</v>
      </c>
    </row>
    <row r="982" spans="1:2">
      <c r="A982">
        <v>11025002</v>
      </c>
      <c r="B982" t="s">
        <v>1110</v>
      </c>
    </row>
    <row r="983" spans="1:2">
      <c r="A983">
        <v>14378114</v>
      </c>
      <c r="B983" t="s">
        <v>979</v>
      </c>
    </row>
    <row r="984" spans="1:2">
      <c r="A984">
        <v>13466864</v>
      </c>
      <c r="B984" t="s">
        <v>980</v>
      </c>
    </row>
    <row r="985" spans="1:2">
      <c r="A985">
        <v>12708322</v>
      </c>
      <c r="B985" t="s">
        <v>981</v>
      </c>
    </row>
    <row r="986" spans="1:2">
      <c r="A986">
        <v>12998103</v>
      </c>
      <c r="B986" t="s">
        <v>982</v>
      </c>
    </row>
    <row r="987" spans="1:2">
      <c r="A987">
        <v>11265701</v>
      </c>
      <c r="B987" t="s">
        <v>983</v>
      </c>
    </row>
    <row r="988" spans="1:2">
      <c r="A988">
        <v>13326826</v>
      </c>
      <c r="B988" t="s">
        <v>984</v>
      </c>
    </row>
    <row r="989" spans="1:2">
      <c r="A989">
        <v>13838516</v>
      </c>
      <c r="B989" t="s">
        <v>985</v>
      </c>
    </row>
    <row r="990" spans="1:2">
      <c r="A990">
        <v>15090814</v>
      </c>
      <c r="B990" t="s">
        <v>986</v>
      </c>
    </row>
    <row r="991" spans="1:2">
      <c r="A991">
        <v>13595438</v>
      </c>
      <c r="B991" t="s">
        <v>987</v>
      </c>
    </row>
    <row r="992" spans="1:2">
      <c r="A992">
        <v>13378856</v>
      </c>
      <c r="B992" t="s">
        <v>988</v>
      </c>
    </row>
    <row r="993" spans="1:2">
      <c r="A993">
        <v>14487236</v>
      </c>
      <c r="B993" t="s">
        <v>989</v>
      </c>
    </row>
    <row r="994" spans="1:2">
      <c r="A994">
        <v>195613</v>
      </c>
      <c r="B994" t="s">
        <v>990</v>
      </c>
    </row>
    <row r="995" spans="1:2">
      <c r="A995">
        <v>291545</v>
      </c>
      <c r="B995" t="s">
        <v>991</v>
      </c>
    </row>
    <row r="996" spans="1:2">
      <c r="A996">
        <v>14607361</v>
      </c>
      <c r="B996" t="s">
        <v>992</v>
      </c>
    </row>
    <row r="997" spans="1:2">
      <c r="A997">
        <v>14525501</v>
      </c>
      <c r="B997" t="s">
        <v>993</v>
      </c>
    </row>
    <row r="998" spans="1:2">
      <c r="A998">
        <v>11200894</v>
      </c>
      <c r="B998" t="s">
        <v>994</v>
      </c>
    </row>
    <row r="999" spans="1:2">
      <c r="A999">
        <v>13827266</v>
      </c>
      <c r="B999" t="s">
        <v>995</v>
      </c>
    </row>
    <row r="1000" spans="1:2">
      <c r="A1000">
        <v>15392433</v>
      </c>
      <c r="B1000" t="s">
        <v>996</v>
      </c>
    </row>
    <row r="1001" spans="1:2">
      <c r="A1001">
        <v>15088627</v>
      </c>
      <c r="B1001" t="s">
        <v>997</v>
      </c>
    </row>
    <row r="1002" spans="1:2">
      <c r="A1002">
        <v>13458466</v>
      </c>
      <c r="B1002" t="s">
        <v>998</v>
      </c>
    </row>
    <row r="1003" spans="1:2">
      <c r="A1003">
        <v>319403</v>
      </c>
      <c r="B1003" t="s">
        <v>999</v>
      </c>
    </row>
    <row r="1004" spans="1:2">
      <c r="A1004">
        <v>12953224</v>
      </c>
      <c r="B1004" t="s">
        <v>1000</v>
      </c>
    </row>
    <row r="1005" spans="1:2">
      <c r="A1005">
        <v>14318960</v>
      </c>
      <c r="B1005" t="s">
        <v>1001</v>
      </c>
    </row>
    <row r="1006" spans="1:2">
      <c r="A1006">
        <v>15034146</v>
      </c>
      <c r="B1006" t="s">
        <v>1002</v>
      </c>
    </row>
    <row r="1007" spans="1:2">
      <c r="A1007">
        <v>12568211</v>
      </c>
      <c r="B1007" t="s">
        <v>1003</v>
      </c>
    </row>
    <row r="1008" spans="1:2">
      <c r="A1008">
        <v>236254</v>
      </c>
      <c r="B1008" t="s">
        <v>1004</v>
      </c>
    </row>
    <row r="1009" spans="1:2">
      <c r="A1009">
        <v>12443603</v>
      </c>
      <c r="B1009" t="s">
        <v>1005</v>
      </c>
    </row>
    <row r="1010" spans="1:2">
      <c r="A1010">
        <v>13074404</v>
      </c>
      <c r="B1010" t="s">
        <v>1006</v>
      </c>
    </row>
    <row r="1011" spans="1:2">
      <c r="A1011">
        <v>13471346</v>
      </c>
      <c r="B1011" t="s">
        <v>1007</v>
      </c>
    </row>
    <row r="1012" spans="1:2">
      <c r="A1012">
        <v>12591616</v>
      </c>
      <c r="B1012" t="s">
        <v>1008</v>
      </c>
    </row>
    <row r="1013" spans="1:2">
      <c r="A1013">
        <v>12694756</v>
      </c>
      <c r="B1013" t="s">
        <v>1009</v>
      </c>
    </row>
    <row r="1014" spans="1:2">
      <c r="A1014">
        <v>12467096</v>
      </c>
      <c r="B1014" t="s">
        <v>1010</v>
      </c>
    </row>
    <row r="1015" spans="1:2">
      <c r="A1015">
        <v>14830054</v>
      </c>
      <c r="B1015" t="s">
        <v>1011</v>
      </c>
    </row>
    <row r="1016" spans="1:2">
      <c r="A1016">
        <v>11542550</v>
      </c>
      <c r="B1016" t="s">
        <v>1012</v>
      </c>
    </row>
    <row r="1017" spans="1:2">
      <c r="A1017">
        <v>14330370</v>
      </c>
      <c r="B1017" t="s">
        <v>1013</v>
      </c>
    </row>
    <row r="1018" spans="1:2">
      <c r="A1018">
        <v>11526155</v>
      </c>
      <c r="B1018" t="s">
        <v>1014</v>
      </c>
    </row>
    <row r="1019" spans="1:2">
      <c r="A1019">
        <v>13552902</v>
      </c>
      <c r="B1019" t="s">
        <v>1015</v>
      </c>
    </row>
    <row r="1020" spans="1:2">
      <c r="A1020">
        <v>12355575</v>
      </c>
      <c r="B1020" t="s">
        <v>1016</v>
      </c>
    </row>
    <row r="1021" spans="1:2">
      <c r="A1021">
        <v>14293214</v>
      </c>
      <c r="B1021" t="s">
        <v>1017</v>
      </c>
    </row>
    <row r="1022" spans="1:2">
      <c r="A1022">
        <v>15211155</v>
      </c>
      <c r="B1022" t="s">
        <v>1018</v>
      </c>
    </row>
    <row r="1023" spans="1:2">
      <c r="A1023">
        <v>12056977</v>
      </c>
      <c r="B1023" t="s">
        <v>1019</v>
      </c>
    </row>
    <row r="1024" spans="1:2">
      <c r="A1024">
        <v>13452779</v>
      </c>
      <c r="B1024" t="s">
        <v>1020</v>
      </c>
    </row>
    <row r="1025" spans="1:2">
      <c r="A1025">
        <v>14265096</v>
      </c>
      <c r="B1025" t="s">
        <v>1021</v>
      </c>
    </row>
    <row r="1026" spans="1:2">
      <c r="A1026">
        <v>162147</v>
      </c>
      <c r="B1026" t="s">
        <v>1022</v>
      </c>
    </row>
    <row r="1027" spans="1:2">
      <c r="A1027">
        <v>14883598</v>
      </c>
      <c r="B1027" t="s">
        <v>1023</v>
      </c>
    </row>
    <row r="1028" spans="1:2">
      <c r="A1028">
        <v>14360212</v>
      </c>
      <c r="B1028" t="s">
        <v>1024</v>
      </c>
    </row>
    <row r="1029" spans="1:2">
      <c r="A1029">
        <v>12571201</v>
      </c>
      <c r="B1029" t="s">
        <v>1025</v>
      </c>
    </row>
    <row r="1030" spans="1:2">
      <c r="A1030">
        <v>14930851</v>
      </c>
      <c r="B1030" t="s">
        <v>1026</v>
      </c>
    </row>
    <row r="1031" spans="1:2">
      <c r="A1031">
        <v>14031120</v>
      </c>
      <c r="B1031" t="s">
        <v>1027</v>
      </c>
    </row>
    <row r="1032" spans="1:2">
      <c r="A1032">
        <v>11645726</v>
      </c>
      <c r="B1032" t="s">
        <v>1028</v>
      </c>
    </row>
    <row r="1033" spans="1:2">
      <c r="A1033">
        <v>11601230</v>
      </c>
      <c r="B1033" t="s">
        <v>1029</v>
      </c>
    </row>
    <row r="1034" spans="1:2">
      <c r="A1034">
        <v>13172065</v>
      </c>
      <c r="B1034" t="s">
        <v>1030</v>
      </c>
    </row>
    <row r="1035" spans="1:2">
      <c r="A1035">
        <v>14595770</v>
      </c>
      <c r="B1035" t="s">
        <v>1031</v>
      </c>
    </row>
    <row r="1036" spans="1:2">
      <c r="A1036">
        <v>13574613</v>
      </c>
      <c r="B1036" t="s">
        <v>1032</v>
      </c>
    </row>
    <row r="1037" spans="1:2">
      <c r="A1037">
        <v>14966455</v>
      </c>
      <c r="B1037" t="s">
        <v>1033</v>
      </c>
    </row>
    <row r="1038" spans="1:2">
      <c r="A1038">
        <v>12147711</v>
      </c>
      <c r="B1038" t="s">
        <v>1034</v>
      </c>
    </row>
    <row r="1039" spans="1:2">
      <c r="A1039">
        <v>13357168</v>
      </c>
      <c r="B1039" t="s">
        <v>1035</v>
      </c>
    </row>
    <row r="1040" spans="1:2">
      <c r="A1040">
        <v>12923602</v>
      </c>
      <c r="B1040" t="s">
        <v>1036</v>
      </c>
    </row>
    <row r="1041" spans="1:2">
      <c r="A1041">
        <v>12948157</v>
      </c>
      <c r="B1041" t="s">
        <v>1037</v>
      </c>
    </row>
    <row r="1042" spans="1:2">
      <c r="A1042">
        <v>12259223</v>
      </c>
      <c r="B1042" t="s">
        <v>1038</v>
      </c>
    </row>
    <row r="1043" spans="1:2">
      <c r="A1043">
        <v>13794174</v>
      </c>
      <c r="B1043" t="s">
        <v>1039</v>
      </c>
    </row>
    <row r="1044" spans="1:2">
      <c r="A1044">
        <v>12094630</v>
      </c>
      <c r="B1044" t="s">
        <v>1111</v>
      </c>
    </row>
    <row r="1045" spans="1:2">
      <c r="A1045">
        <v>14373352</v>
      </c>
      <c r="B1045" t="s">
        <v>1112</v>
      </c>
    </row>
    <row r="1046" spans="1:2">
      <c r="A1046">
        <v>13642460</v>
      </c>
      <c r="B1046" t="s">
        <v>1113</v>
      </c>
    </row>
    <row r="1047" spans="1:2">
      <c r="A1047">
        <v>12419898</v>
      </c>
      <c r="B1047" t="s">
        <v>1114</v>
      </c>
    </row>
    <row r="1048" spans="1:2">
      <c r="A1048">
        <v>12580727</v>
      </c>
      <c r="B1048" t="s">
        <v>1115</v>
      </c>
    </row>
    <row r="1049" spans="1:2">
      <c r="A1049">
        <v>14545170</v>
      </c>
      <c r="B1049" t="s">
        <v>1116</v>
      </c>
    </row>
    <row r="1050" spans="1:2">
      <c r="A1050">
        <v>11130614</v>
      </c>
      <c r="B1050" t="s">
        <v>1117</v>
      </c>
    </row>
    <row r="1051" spans="1:2">
      <c r="A1051">
        <v>15221752</v>
      </c>
      <c r="B1051" t="s">
        <v>1118</v>
      </c>
    </row>
    <row r="1052" spans="1:2">
      <c r="A1052">
        <v>11926066</v>
      </c>
      <c r="B1052" t="s">
        <v>1119</v>
      </c>
    </row>
    <row r="1053" spans="1:2">
      <c r="A1053">
        <v>13586173</v>
      </c>
      <c r="B1053" t="s">
        <v>1120</v>
      </c>
    </row>
    <row r="1054" spans="1:2">
      <c r="A1054">
        <v>11018659</v>
      </c>
      <c r="B1054" t="s">
        <v>1121</v>
      </c>
    </row>
    <row r="1055" spans="1:2">
      <c r="A1055">
        <v>12408969</v>
      </c>
      <c r="B1055" t="s">
        <v>1122</v>
      </c>
    </row>
    <row r="1056" spans="1:2">
      <c r="A1056">
        <v>12677033</v>
      </c>
      <c r="B1056" t="s">
        <v>1123</v>
      </c>
    </row>
    <row r="1057" spans="1:2">
      <c r="A1057">
        <v>12932451</v>
      </c>
      <c r="B1057" t="s">
        <v>1124</v>
      </c>
    </row>
    <row r="1058" spans="1:2">
      <c r="A1058">
        <v>14943481</v>
      </c>
      <c r="B1058" t="s">
        <v>1125</v>
      </c>
    </row>
    <row r="1059" spans="1:2">
      <c r="A1059">
        <v>14892303</v>
      </c>
      <c r="B1059" t="s">
        <v>1126</v>
      </c>
    </row>
    <row r="1060" spans="1:2">
      <c r="A1060">
        <v>14324210</v>
      </c>
      <c r="B1060" t="s">
        <v>1127</v>
      </c>
    </row>
    <row r="1061" spans="1:2">
      <c r="A1061">
        <v>12428804</v>
      </c>
      <c r="B1061" t="s">
        <v>1128</v>
      </c>
    </row>
    <row r="1062" spans="1:2">
      <c r="A1062">
        <v>15091116</v>
      </c>
      <c r="B1062" t="s">
        <v>1129</v>
      </c>
    </row>
    <row r="1063" spans="1:2">
      <c r="A1063">
        <v>13706200</v>
      </c>
      <c r="B1063" t="s">
        <v>1130</v>
      </c>
    </row>
    <row r="1064" spans="1:2">
      <c r="A1064">
        <v>15252290</v>
      </c>
      <c r="B1064" t="s">
        <v>1131</v>
      </c>
    </row>
    <row r="1065" spans="1:2">
      <c r="A1065">
        <v>13456566</v>
      </c>
      <c r="B1065" t="s">
        <v>1132</v>
      </c>
    </row>
    <row r="1066" spans="1:2">
      <c r="A1066">
        <v>278343</v>
      </c>
      <c r="B1066" t="s">
        <v>1133</v>
      </c>
    </row>
    <row r="1067" spans="1:2">
      <c r="A1067">
        <v>13905213</v>
      </c>
      <c r="B1067" t="s">
        <v>1134</v>
      </c>
    </row>
    <row r="1068" spans="1:2">
      <c r="A1068">
        <v>13112904</v>
      </c>
      <c r="B1068" t="s">
        <v>1135</v>
      </c>
    </row>
    <row r="1069" spans="1:2">
      <c r="A1069">
        <v>11090077</v>
      </c>
      <c r="B1069" t="s">
        <v>1136</v>
      </c>
    </row>
    <row r="1070" spans="1:2">
      <c r="A1070">
        <v>13611894</v>
      </c>
      <c r="B1070" t="s">
        <v>1137</v>
      </c>
    </row>
    <row r="1071" spans="1:2">
      <c r="A1071">
        <v>14382060</v>
      </c>
      <c r="B1071" t="s">
        <v>1138</v>
      </c>
    </row>
    <row r="1072" spans="1:2">
      <c r="A1072">
        <v>218424</v>
      </c>
      <c r="B1072" t="s">
        <v>1139</v>
      </c>
    </row>
    <row r="1073" spans="1:2">
      <c r="A1073">
        <v>12461251</v>
      </c>
      <c r="B1073" t="s">
        <v>1140</v>
      </c>
    </row>
    <row r="1074" spans="1:2">
      <c r="A1074">
        <v>14581403</v>
      </c>
      <c r="B1074" t="s">
        <v>1141</v>
      </c>
    </row>
    <row r="1075" spans="1:2">
      <c r="A1075">
        <v>14606753</v>
      </c>
      <c r="B1075" t="s">
        <v>1142</v>
      </c>
    </row>
    <row r="1076" spans="1:2">
      <c r="A1076">
        <v>14568377</v>
      </c>
      <c r="B1076" t="s">
        <v>1143</v>
      </c>
    </row>
    <row r="1077" spans="1:2">
      <c r="A1077">
        <v>13183065</v>
      </c>
      <c r="B1077" t="s">
        <v>1144</v>
      </c>
    </row>
    <row r="1078" spans="1:2">
      <c r="A1078">
        <v>13770097</v>
      </c>
      <c r="B1078" t="s">
        <v>1145</v>
      </c>
    </row>
    <row r="1079" spans="1:2">
      <c r="A1079">
        <v>11391588</v>
      </c>
      <c r="B1079" t="s">
        <v>1146</v>
      </c>
    </row>
    <row r="1080" spans="1:2">
      <c r="A1080">
        <v>14294265</v>
      </c>
      <c r="B1080" t="s">
        <v>1147</v>
      </c>
    </row>
    <row r="1081" spans="1:2">
      <c r="A1081">
        <v>12091718</v>
      </c>
      <c r="B1081" t="s">
        <v>1148</v>
      </c>
    </row>
    <row r="1082" spans="1:2">
      <c r="A1082">
        <v>83438</v>
      </c>
      <c r="B1082" t="s">
        <v>1149</v>
      </c>
    </row>
    <row r="1083" spans="1:2">
      <c r="A1083">
        <v>12386788</v>
      </c>
      <c r="B1083" t="s">
        <v>1161</v>
      </c>
    </row>
    <row r="1084" spans="1:2">
      <c r="A1084">
        <v>14033715</v>
      </c>
      <c r="B1084" t="s">
        <v>1162</v>
      </c>
    </row>
    <row r="1085" spans="1:2">
      <c r="A1085">
        <v>15162071</v>
      </c>
      <c r="B1085" t="s">
        <v>1163</v>
      </c>
    </row>
    <row r="1086" spans="1:2">
      <c r="A1086">
        <v>13545240</v>
      </c>
      <c r="B1086" t="s">
        <v>1164</v>
      </c>
    </row>
    <row r="1087" spans="1:2">
      <c r="A1087">
        <v>12253308</v>
      </c>
      <c r="B1087" t="s">
        <v>1165</v>
      </c>
    </row>
    <row r="1088" spans="1:2">
      <c r="A1088">
        <v>14844878</v>
      </c>
      <c r="B1088" t="s">
        <v>1166</v>
      </c>
    </row>
    <row r="1089" spans="1:2">
      <c r="A1089">
        <v>12256682</v>
      </c>
      <c r="B1089" t="s">
        <v>1167</v>
      </c>
    </row>
    <row r="1090" spans="1:2">
      <c r="A1090">
        <v>12350615</v>
      </c>
      <c r="B1090" t="s">
        <v>1168</v>
      </c>
    </row>
    <row r="1091" spans="1:2">
      <c r="A1091">
        <v>13783201</v>
      </c>
      <c r="B1091" t="s">
        <v>1169</v>
      </c>
    </row>
    <row r="1092" spans="1:2">
      <c r="A1092">
        <v>15247849</v>
      </c>
      <c r="B1092" t="s">
        <v>1170</v>
      </c>
    </row>
    <row r="1093" spans="1:2">
      <c r="A1093">
        <v>12463422</v>
      </c>
      <c r="B1093" t="s">
        <v>1171</v>
      </c>
    </row>
    <row r="1094" spans="1:2">
      <c r="A1094">
        <v>14628310</v>
      </c>
      <c r="B1094" t="s">
        <v>1172</v>
      </c>
    </row>
    <row r="1095" spans="1:2">
      <c r="A1095">
        <v>13359781</v>
      </c>
      <c r="B1095" t="s">
        <v>1173</v>
      </c>
    </row>
    <row r="1096" spans="1:2">
      <c r="A1096">
        <v>345197</v>
      </c>
      <c r="B1096" t="s">
        <v>1174</v>
      </c>
    </row>
    <row r="1097" spans="1:2">
      <c r="A1097">
        <v>13074019</v>
      </c>
      <c r="B1097" t="s">
        <v>1175</v>
      </c>
    </row>
    <row r="1098" spans="1:2">
      <c r="A1098">
        <v>15212703</v>
      </c>
      <c r="B1098" t="s">
        <v>1176</v>
      </c>
    </row>
    <row r="1099" spans="1:2">
      <c r="A1099">
        <v>222049</v>
      </c>
      <c r="B1099" t="s">
        <v>1177</v>
      </c>
    </row>
    <row r="1100" spans="1:2">
      <c r="A1100">
        <v>13126946</v>
      </c>
      <c r="B1100" t="s">
        <v>1178</v>
      </c>
    </row>
    <row r="1101" spans="1:2">
      <c r="A1101">
        <v>14838039</v>
      </c>
      <c r="B1101" t="s">
        <v>1179</v>
      </c>
    </row>
    <row r="1102" spans="1:2">
      <c r="A1102">
        <v>11543002</v>
      </c>
      <c r="B1102" t="s">
        <v>1180</v>
      </c>
    </row>
    <row r="1103" spans="1:2">
      <c r="A1103">
        <v>13148694</v>
      </c>
      <c r="B1103" t="s">
        <v>1181</v>
      </c>
    </row>
    <row r="1104" spans="1:2">
      <c r="A1104">
        <v>15157983</v>
      </c>
      <c r="B1104" t="s">
        <v>1182</v>
      </c>
    </row>
    <row r="1105" spans="1:2">
      <c r="A1105">
        <v>13296997</v>
      </c>
      <c r="B1105" t="s">
        <v>1183</v>
      </c>
    </row>
    <row r="1106" spans="1:2">
      <c r="A1106">
        <v>11843931</v>
      </c>
      <c r="B1106" t="s">
        <v>1184</v>
      </c>
    </row>
    <row r="1107" spans="1:2">
      <c r="A1107">
        <v>13448268</v>
      </c>
      <c r="B1107" t="s">
        <v>1185</v>
      </c>
    </row>
    <row r="1108" spans="1:2">
      <c r="A1108">
        <v>8905</v>
      </c>
      <c r="B1108" t="s">
        <v>1186</v>
      </c>
    </row>
    <row r="1109" spans="1:2">
      <c r="A1109">
        <v>12135595</v>
      </c>
      <c r="B1109" t="s">
        <v>1187</v>
      </c>
    </row>
    <row r="1110" spans="1:2">
      <c r="A1110">
        <v>13305659</v>
      </c>
      <c r="B1110" t="s">
        <v>1188</v>
      </c>
    </row>
    <row r="1111" spans="1:2">
      <c r="A1111">
        <v>11943891</v>
      </c>
      <c r="B1111" t="s">
        <v>1189</v>
      </c>
    </row>
    <row r="1112" spans="1:2">
      <c r="A1112">
        <v>11799849</v>
      </c>
      <c r="B1112" t="s">
        <v>1190</v>
      </c>
    </row>
    <row r="1113" spans="1:2">
      <c r="A1113">
        <v>14850693</v>
      </c>
      <c r="B1113" t="s">
        <v>1191</v>
      </c>
    </row>
    <row r="1114" spans="1:2">
      <c r="A1114">
        <v>13117530</v>
      </c>
      <c r="B1114" t="s">
        <v>1192</v>
      </c>
    </row>
    <row r="1115" spans="1:2">
      <c r="A1115">
        <v>13620589</v>
      </c>
      <c r="B1115" t="s">
        <v>1193</v>
      </c>
    </row>
    <row r="1116" spans="1:2">
      <c r="A1116">
        <v>15144529</v>
      </c>
      <c r="B1116" t="s">
        <v>1194</v>
      </c>
    </row>
    <row r="1117" spans="1:2">
      <c r="A1117">
        <v>11425590</v>
      </c>
      <c r="B1117" t="s">
        <v>1195</v>
      </c>
    </row>
    <row r="1118" spans="1:2">
      <c r="A1118">
        <v>13764558</v>
      </c>
      <c r="B1118" t="s">
        <v>1196</v>
      </c>
    </row>
    <row r="1119" spans="1:2">
      <c r="A1119">
        <v>12014202</v>
      </c>
      <c r="B1119" t="s">
        <v>1197</v>
      </c>
    </row>
    <row r="1120" spans="1:2">
      <c r="A1120">
        <v>11285871</v>
      </c>
      <c r="B1120" t="s">
        <v>1198</v>
      </c>
    </row>
    <row r="1121" spans="1:2">
      <c r="A1121">
        <v>13937091</v>
      </c>
      <c r="B1121" t="s">
        <v>1199</v>
      </c>
    </row>
    <row r="1122" spans="1:2">
      <c r="A1122">
        <v>13241650</v>
      </c>
      <c r="B1122" t="s">
        <v>1200</v>
      </c>
    </row>
    <row r="1123" spans="1:2">
      <c r="A1123">
        <v>15134148</v>
      </c>
      <c r="B1123" t="s">
        <v>1201</v>
      </c>
    </row>
    <row r="1124" spans="1:2">
      <c r="A1124">
        <v>13891564</v>
      </c>
      <c r="B1124" t="s">
        <v>1202</v>
      </c>
    </row>
    <row r="1125" spans="1:2">
      <c r="A1125">
        <v>13260799</v>
      </c>
      <c r="B1125" t="s">
        <v>1203</v>
      </c>
    </row>
    <row r="1126" spans="1:2">
      <c r="A1126">
        <v>11936550</v>
      </c>
      <c r="B1126" t="s">
        <v>1204</v>
      </c>
    </row>
    <row r="1127" spans="1:2">
      <c r="A1127">
        <v>14546688</v>
      </c>
      <c r="B1127" t="s">
        <v>1205</v>
      </c>
    </row>
    <row r="1128" spans="1:2">
      <c r="A1128">
        <v>13763030</v>
      </c>
      <c r="B1128" t="s">
        <v>1206</v>
      </c>
    </row>
    <row r="1129" spans="1:2">
      <c r="A1129">
        <v>12909139</v>
      </c>
      <c r="B1129" t="s">
        <v>1207</v>
      </c>
    </row>
    <row r="1130" spans="1:2">
      <c r="A1130">
        <v>14870490</v>
      </c>
      <c r="B1130" t="s">
        <v>1208</v>
      </c>
    </row>
    <row r="1131" spans="1:2">
      <c r="A1131">
        <v>11150708</v>
      </c>
      <c r="B1131" t="s">
        <v>1209</v>
      </c>
    </row>
    <row r="1132" spans="1:2">
      <c r="A1132">
        <v>14746012</v>
      </c>
      <c r="B1132" t="s">
        <v>1210</v>
      </c>
    </row>
    <row r="1133" spans="1:2">
      <c r="A1133">
        <v>13415975</v>
      </c>
      <c r="B1133" t="s">
        <v>1211</v>
      </c>
    </row>
    <row r="1134" spans="1:2">
      <c r="A1134">
        <v>13890571</v>
      </c>
      <c r="B1134" t="s">
        <v>1212</v>
      </c>
    </row>
    <row r="1135" spans="1:2">
      <c r="A1135">
        <v>14980926</v>
      </c>
      <c r="B1135" t="s">
        <v>1213</v>
      </c>
    </row>
    <row r="1136" spans="1:2">
      <c r="A1136">
        <v>14655881</v>
      </c>
      <c r="B1136" t="s">
        <v>1214</v>
      </c>
    </row>
    <row r="1137" spans="1:2">
      <c r="A1137">
        <v>12017934</v>
      </c>
      <c r="B1137" t="s">
        <v>1215</v>
      </c>
    </row>
    <row r="1138" spans="1:2">
      <c r="A1138">
        <v>11139862</v>
      </c>
      <c r="B1138" t="s">
        <v>1216</v>
      </c>
    </row>
    <row r="1139" spans="1:2">
      <c r="A1139">
        <v>13031980</v>
      </c>
      <c r="B1139" t="s">
        <v>1217</v>
      </c>
    </row>
    <row r="1140" spans="1:2">
      <c r="A1140">
        <v>13880440</v>
      </c>
      <c r="B1140" t="s">
        <v>1218</v>
      </c>
    </row>
    <row r="1141" spans="1:2">
      <c r="A1141">
        <v>11538613</v>
      </c>
      <c r="B1141" t="s">
        <v>1219</v>
      </c>
    </row>
    <row r="1142" spans="1:2">
      <c r="A1142">
        <v>13962006</v>
      </c>
      <c r="B1142" t="s">
        <v>1220</v>
      </c>
    </row>
    <row r="1143" spans="1:2">
      <c r="A1143">
        <v>12631728</v>
      </c>
      <c r="B1143" t="s">
        <v>1221</v>
      </c>
    </row>
    <row r="1144" spans="1:2">
      <c r="A1144">
        <v>12888496</v>
      </c>
      <c r="B1144" t="s">
        <v>1222</v>
      </c>
    </row>
    <row r="1145" spans="1:2">
      <c r="A1145">
        <v>239107</v>
      </c>
      <c r="B1145" t="s">
        <v>1223</v>
      </c>
    </row>
    <row r="1146" spans="1:2">
      <c r="A1146">
        <v>14471135</v>
      </c>
      <c r="B1146" t="s">
        <v>1224</v>
      </c>
    </row>
    <row r="1147" spans="1:2">
      <c r="A1147">
        <v>12497133</v>
      </c>
      <c r="B1147" t="s">
        <v>1225</v>
      </c>
    </row>
    <row r="1148" spans="1:2">
      <c r="A1148">
        <v>14066686</v>
      </c>
      <c r="B1148" t="s">
        <v>1226</v>
      </c>
    </row>
    <row r="1149" spans="1:2">
      <c r="A1149">
        <v>12555927</v>
      </c>
      <c r="B1149" t="s">
        <v>1227</v>
      </c>
    </row>
    <row r="1150" spans="1:2">
      <c r="A1150">
        <v>13813037</v>
      </c>
      <c r="B1150" t="s">
        <v>1228</v>
      </c>
    </row>
    <row r="1151" spans="1:2">
      <c r="A1151">
        <v>13887301</v>
      </c>
      <c r="B1151" t="s">
        <v>1229</v>
      </c>
    </row>
    <row r="1152" spans="1:2">
      <c r="A1152">
        <v>11907149</v>
      </c>
      <c r="B1152" t="s">
        <v>1230</v>
      </c>
    </row>
    <row r="1153" spans="1:2">
      <c r="A1153">
        <v>147184</v>
      </c>
      <c r="B1153" t="s">
        <v>1231</v>
      </c>
    </row>
    <row r="1154" spans="1:2">
      <c r="A1154">
        <v>12995565</v>
      </c>
      <c r="B1154" t="s">
        <v>1232</v>
      </c>
    </row>
    <row r="1155" spans="1:2">
      <c r="A1155">
        <v>13591386</v>
      </c>
      <c r="B1155" t="s">
        <v>1233</v>
      </c>
    </row>
    <row r="1156" spans="1:2">
      <c r="A1156">
        <v>12937708</v>
      </c>
      <c r="B1156" t="s">
        <v>1234</v>
      </c>
    </row>
    <row r="1157" spans="1:2">
      <c r="A1157">
        <v>13255408</v>
      </c>
      <c r="B1157" t="s">
        <v>1235</v>
      </c>
    </row>
    <row r="1158" spans="1:2">
      <c r="A1158">
        <v>14294283</v>
      </c>
      <c r="B1158" t="s">
        <v>1236</v>
      </c>
    </row>
    <row r="1159" spans="1:2">
      <c r="A1159">
        <v>12936027</v>
      </c>
      <c r="B1159" t="s">
        <v>1237</v>
      </c>
    </row>
    <row r="1160" spans="1:2">
      <c r="A1160">
        <v>13835514</v>
      </c>
      <c r="B1160" t="s">
        <v>1238</v>
      </c>
    </row>
    <row r="1161" spans="1:2">
      <c r="A1161">
        <v>12341918</v>
      </c>
      <c r="B1161" t="s">
        <v>1239</v>
      </c>
    </row>
    <row r="1162" spans="1:2">
      <c r="A1162">
        <v>11162200</v>
      </c>
      <c r="B1162" t="s">
        <v>1240</v>
      </c>
    </row>
    <row r="1163" spans="1:2">
      <c r="A1163">
        <v>14751683</v>
      </c>
      <c r="B1163" t="s">
        <v>1241</v>
      </c>
    </row>
    <row r="1164" spans="1:2">
      <c r="A1164">
        <v>13859701</v>
      </c>
      <c r="B1164" t="s">
        <v>1242</v>
      </c>
    </row>
    <row r="1165" spans="1:2">
      <c r="A1165">
        <v>12053983</v>
      </c>
      <c r="B1165" t="s">
        <v>1243</v>
      </c>
    </row>
    <row r="1166" spans="1:2">
      <c r="A1166">
        <v>14151071</v>
      </c>
      <c r="B1166" t="s">
        <v>1244</v>
      </c>
    </row>
    <row r="1167" spans="1:2">
      <c r="A1167">
        <v>14484800</v>
      </c>
      <c r="B1167" t="s">
        <v>1245</v>
      </c>
    </row>
    <row r="1168" spans="1:2">
      <c r="A1168">
        <v>11261781</v>
      </c>
      <c r="B1168" t="s">
        <v>1246</v>
      </c>
    </row>
    <row r="1169" spans="1:2">
      <c r="A1169">
        <v>12078216</v>
      </c>
      <c r="B1169" t="s">
        <v>1247</v>
      </c>
    </row>
    <row r="1170" spans="1:2">
      <c r="A1170">
        <v>12261211</v>
      </c>
      <c r="B1170" t="s">
        <v>1248</v>
      </c>
    </row>
    <row r="1171" spans="1:2">
      <c r="A1171">
        <v>11426830</v>
      </c>
      <c r="B1171" t="s">
        <v>1249</v>
      </c>
    </row>
    <row r="1172" spans="1:2">
      <c r="A1172">
        <v>12558693</v>
      </c>
      <c r="B1172" t="s">
        <v>1250</v>
      </c>
    </row>
    <row r="1173" spans="1:2">
      <c r="A1173">
        <v>11668279</v>
      </c>
      <c r="B1173" t="s">
        <v>1251</v>
      </c>
    </row>
    <row r="1174" spans="1:2">
      <c r="A1174">
        <v>11787684</v>
      </c>
      <c r="B1174" t="s">
        <v>1252</v>
      </c>
    </row>
    <row r="1175" spans="1:2">
      <c r="A1175">
        <v>14495090</v>
      </c>
      <c r="B1175" t="s">
        <v>1253</v>
      </c>
    </row>
    <row r="1176" spans="1:2">
      <c r="A1176">
        <v>13730096</v>
      </c>
      <c r="B1176" t="s">
        <v>1254</v>
      </c>
    </row>
    <row r="1177" spans="1:2">
      <c r="A1177">
        <v>13444236</v>
      </c>
      <c r="B1177" t="s">
        <v>1255</v>
      </c>
    </row>
    <row r="1178" spans="1:2">
      <c r="A1178">
        <v>13841116</v>
      </c>
      <c r="B1178" t="s">
        <v>1256</v>
      </c>
    </row>
    <row r="1179" spans="1:2">
      <c r="A1179">
        <v>13477618</v>
      </c>
      <c r="B1179" t="s">
        <v>1257</v>
      </c>
    </row>
    <row r="1180" spans="1:2">
      <c r="A1180">
        <v>11811805</v>
      </c>
      <c r="B1180" t="s">
        <v>1258</v>
      </c>
    </row>
    <row r="1181" spans="1:2">
      <c r="A1181">
        <v>13243204</v>
      </c>
      <c r="B1181" t="s">
        <v>1259</v>
      </c>
    </row>
    <row r="1182" spans="1:2">
      <c r="A1182">
        <v>11803119</v>
      </c>
      <c r="B1182" t="s">
        <v>1260</v>
      </c>
    </row>
    <row r="1183" spans="1:2">
      <c r="A1183">
        <v>14481795</v>
      </c>
      <c r="B1183" t="s">
        <v>1261</v>
      </c>
    </row>
    <row r="1184" spans="1:2">
      <c r="A1184">
        <v>13499971</v>
      </c>
      <c r="B1184" t="s">
        <v>1262</v>
      </c>
    </row>
    <row r="1185" spans="1:2">
      <c r="A1185">
        <v>12754807</v>
      </c>
      <c r="B1185" t="s">
        <v>1263</v>
      </c>
    </row>
    <row r="1186" spans="1:2">
      <c r="A1186">
        <v>13946756</v>
      </c>
      <c r="B1186" t="s">
        <v>329</v>
      </c>
    </row>
    <row r="1187" spans="1:2">
      <c r="A1187">
        <v>14411708</v>
      </c>
      <c r="B1187" t="s">
        <v>1264</v>
      </c>
    </row>
    <row r="1188" spans="1:2">
      <c r="A1188">
        <v>14471135</v>
      </c>
      <c r="B1188" t="s">
        <v>1224</v>
      </c>
    </row>
    <row r="1189" spans="1:2">
      <c r="A1189">
        <v>253291</v>
      </c>
      <c r="B1189" t="s">
        <v>1265</v>
      </c>
    </row>
    <row r="1190" spans="1:2">
      <c r="A1190">
        <v>13453448</v>
      </c>
      <c r="B1190" t="s">
        <v>1266</v>
      </c>
    </row>
    <row r="1191" spans="1:2">
      <c r="A1191">
        <v>15180694</v>
      </c>
      <c r="B1191" t="s">
        <v>1267</v>
      </c>
    </row>
    <row r="1192" spans="1:2">
      <c r="A1192">
        <v>13155685</v>
      </c>
      <c r="B1192" t="s">
        <v>1268</v>
      </c>
    </row>
    <row r="1193" spans="1:2">
      <c r="A1193">
        <v>12722632</v>
      </c>
      <c r="B1193" t="s">
        <v>1269</v>
      </c>
    </row>
    <row r="1194" spans="1:2">
      <c r="A1194">
        <v>14880267</v>
      </c>
      <c r="B1194" t="s">
        <v>1270</v>
      </c>
    </row>
    <row r="1195" spans="1:2">
      <c r="A1195">
        <v>11904717</v>
      </c>
      <c r="B1195" t="s">
        <v>1271</v>
      </c>
    </row>
    <row r="1196" spans="1:2">
      <c r="A1196">
        <v>15357756</v>
      </c>
      <c r="B1196" t="s">
        <v>1272</v>
      </c>
    </row>
    <row r="1197" spans="1:2">
      <c r="A1197">
        <v>12943583</v>
      </c>
      <c r="B1197" t="s">
        <v>1273</v>
      </c>
    </row>
    <row r="1198" spans="1:2">
      <c r="A1198">
        <v>11540257</v>
      </c>
      <c r="B1198" t="s">
        <v>1274</v>
      </c>
    </row>
    <row r="1199" spans="1:2">
      <c r="A1199">
        <v>14849078</v>
      </c>
      <c r="B1199" t="s">
        <v>1275</v>
      </c>
    </row>
    <row r="1200" spans="1:2">
      <c r="A1200">
        <v>15395386</v>
      </c>
      <c r="B1200" t="s">
        <v>1276</v>
      </c>
    </row>
    <row r="1201" spans="1:2">
      <c r="A1201">
        <v>13271008</v>
      </c>
      <c r="B1201" t="s">
        <v>1278</v>
      </c>
    </row>
    <row r="1202" spans="1:2">
      <c r="A1202">
        <v>12966128</v>
      </c>
      <c r="B1202" t="s">
        <v>1279</v>
      </c>
    </row>
    <row r="1203" spans="1:2">
      <c r="A1203">
        <v>14756417</v>
      </c>
      <c r="B1203" t="s">
        <v>1280</v>
      </c>
    </row>
    <row r="1204" spans="1:2">
      <c r="A1204">
        <v>11527686</v>
      </c>
      <c r="B1204" t="s">
        <v>1281</v>
      </c>
    </row>
    <row r="1205" spans="1:2">
      <c r="A1205">
        <v>14798080</v>
      </c>
      <c r="B1205" t="s">
        <v>1282</v>
      </c>
    </row>
    <row r="1206" spans="1:2">
      <c r="A1206">
        <v>13164704</v>
      </c>
      <c r="B1206" t="s">
        <v>1283</v>
      </c>
    </row>
    <row r="1207" spans="1:2">
      <c r="A1207">
        <v>13789851</v>
      </c>
      <c r="B1207" t="s">
        <v>1284</v>
      </c>
    </row>
    <row r="1208" spans="1:2">
      <c r="A1208">
        <v>14510349</v>
      </c>
      <c r="B1208" t="s">
        <v>1285</v>
      </c>
    </row>
    <row r="1209" spans="1:2">
      <c r="A1209">
        <v>336135</v>
      </c>
      <c r="B1209" t="s">
        <v>1286</v>
      </c>
    </row>
    <row r="1210" spans="1:2">
      <c r="A1210">
        <v>12940378</v>
      </c>
      <c r="B1210" t="s">
        <v>1287</v>
      </c>
    </row>
    <row r="1211" spans="1:2">
      <c r="A1211">
        <v>14217825</v>
      </c>
      <c r="B1211" t="s">
        <v>1288</v>
      </c>
    </row>
    <row r="1212" spans="1:2">
      <c r="A1212">
        <v>13357498</v>
      </c>
      <c r="B1212" t="s">
        <v>1289</v>
      </c>
    </row>
    <row r="1213" spans="1:2">
      <c r="A1213">
        <v>13627348</v>
      </c>
      <c r="B1213" t="s">
        <v>1290</v>
      </c>
    </row>
    <row r="1214" spans="1:2">
      <c r="A1214">
        <v>11530509</v>
      </c>
      <c r="B1214" t="s">
        <v>1291</v>
      </c>
    </row>
    <row r="1215" spans="1:2">
      <c r="A1215">
        <v>14316738</v>
      </c>
      <c r="B1215" t="s">
        <v>928</v>
      </c>
    </row>
    <row r="1216" spans="1:2">
      <c r="A1216">
        <v>336135</v>
      </c>
      <c r="B1216" t="s">
        <v>1286</v>
      </c>
    </row>
    <row r="1217" spans="1:2">
      <c r="A1217">
        <v>12526203</v>
      </c>
      <c r="B1217" t="s">
        <v>1294</v>
      </c>
    </row>
    <row r="1218" spans="1:2">
      <c r="A1218">
        <v>12261587</v>
      </c>
      <c r="B1218" t="s">
        <v>1295</v>
      </c>
    </row>
    <row r="1219" spans="1:2">
      <c r="A1219">
        <v>15382726</v>
      </c>
      <c r="B1219" t="s">
        <v>1296</v>
      </c>
    </row>
    <row r="1220" spans="1:2">
      <c r="A1220">
        <v>13559024</v>
      </c>
      <c r="B1220" t="s">
        <v>1297</v>
      </c>
    </row>
    <row r="1221" spans="1:2">
      <c r="A1221">
        <v>13522333</v>
      </c>
      <c r="B1221" t="s">
        <v>1298</v>
      </c>
    </row>
    <row r="1222" spans="1:2">
      <c r="A1222">
        <v>247815</v>
      </c>
      <c r="B1222" t="s">
        <v>1299</v>
      </c>
    </row>
    <row r="1223" spans="1:2">
      <c r="A1223">
        <v>12931193</v>
      </c>
      <c r="B1223" t="s">
        <v>1300</v>
      </c>
    </row>
    <row r="1224" spans="1:2">
      <c r="A1224">
        <v>14776753</v>
      </c>
      <c r="B1224" t="s">
        <v>1301</v>
      </c>
    </row>
    <row r="1225" spans="1:2">
      <c r="A1225">
        <v>11109326</v>
      </c>
      <c r="B1225" t="s">
        <v>1302</v>
      </c>
    </row>
    <row r="1226" spans="1:2">
      <c r="A1226">
        <v>14040091</v>
      </c>
      <c r="B1226" t="s">
        <v>1303</v>
      </c>
    </row>
    <row r="1227" spans="1:2">
      <c r="A1227">
        <v>11374906</v>
      </c>
      <c r="B1227" t="s">
        <v>1304</v>
      </c>
    </row>
    <row r="1228" spans="1:2">
      <c r="A1228">
        <v>13373701</v>
      </c>
      <c r="B1228" t="s">
        <v>1305</v>
      </c>
    </row>
    <row r="1229" spans="1:2">
      <c r="A1229">
        <v>13059154</v>
      </c>
      <c r="B1229" t="s">
        <v>1306</v>
      </c>
    </row>
    <row r="1230" spans="1:2">
      <c r="A1230">
        <v>13415706</v>
      </c>
      <c r="B1230" t="s">
        <v>1307</v>
      </c>
    </row>
    <row r="1231" spans="1:2">
      <c r="A1231">
        <v>12107512</v>
      </c>
      <c r="B1231" t="s">
        <v>1308</v>
      </c>
    </row>
    <row r="1232" spans="1:2">
      <c r="A1232">
        <v>13909498</v>
      </c>
      <c r="B1232" t="s">
        <v>1309</v>
      </c>
    </row>
    <row r="1233" spans="1:2">
      <c r="A1233">
        <v>11990911</v>
      </c>
      <c r="B1233" t="s">
        <v>1310</v>
      </c>
    </row>
    <row r="1234" spans="1:2">
      <c r="A1234">
        <v>62921</v>
      </c>
      <c r="B1234" t="s">
        <v>1311</v>
      </c>
    </row>
    <row r="1235" spans="1:2">
      <c r="A1235">
        <v>11347960</v>
      </c>
      <c r="B1235" t="s">
        <v>1312</v>
      </c>
    </row>
    <row r="1236" spans="1:2">
      <c r="A1236">
        <v>11258486</v>
      </c>
      <c r="B1236" t="s">
        <v>1313</v>
      </c>
    </row>
  </sheetData>
  <sheetProtection selectLockedCells="1"/>
  <mergeCells count="1">
    <mergeCell ref="D1:G6"/>
  </mergeCells>
  <conditionalFormatting sqref="K9">
    <cfRule type="notContainsBlanks" dxfId="0" priority="1">
      <formula>LEN(TRIM(K9))&gt;0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39011E-58BB-48BD-8E8C-6F58C7DD7196}">
  <sheetPr codeName="Sheet8"/>
  <dimension ref="B1:S1000"/>
  <sheetViews>
    <sheetView zoomScale="70" zoomScaleNormal="70" workbookViewId="0"/>
  </sheetViews>
  <sheetFormatPr defaultRowHeight="15"/>
  <cols>
    <col min="1" max="1" width="1.7109375" customWidth="1"/>
    <col min="2" max="2" width="22.5703125" style="75" customWidth="1"/>
    <col min="3" max="3" width="29.28515625" style="75" customWidth="1"/>
    <col min="4" max="4" width="25.5703125" customWidth="1"/>
    <col min="5" max="5" width="1.85546875" customWidth="1"/>
    <col min="6" max="6" width="15.5703125" bestFit="1" customWidth="1"/>
    <col min="7" max="7" width="25.140625" bestFit="1" customWidth="1"/>
    <col min="8" max="8" width="11.42578125" bestFit="1" customWidth="1"/>
    <col min="9" max="9" width="1.85546875" customWidth="1"/>
    <col min="10" max="10" width="31.42578125" bestFit="1" customWidth="1"/>
    <col min="11" max="11" width="22.42578125" bestFit="1" customWidth="1"/>
    <col min="12" max="12" width="15.7109375" bestFit="1" customWidth="1"/>
    <col min="13" max="13" width="1.85546875" customWidth="1"/>
    <col min="14" max="14" width="13.28515625" customWidth="1"/>
    <col min="15" max="15" width="24.42578125" bestFit="1" customWidth="1"/>
    <col min="16" max="16" width="14" bestFit="1" customWidth="1"/>
    <col min="18" max="18" width="14.5703125" customWidth="1"/>
    <col min="19" max="19" width="14.85546875" customWidth="1"/>
  </cols>
  <sheetData>
    <row r="1" spans="2:19" ht="15.75" thickBot="1">
      <c r="B1" s="62" t="s">
        <v>1322</v>
      </c>
      <c r="C1" s="63" t="s">
        <v>1323</v>
      </c>
      <c r="D1" s="63" t="s">
        <v>1324</v>
      </c>
      <c r="F1" s="64" t="s">
        <v>1325</v>
      </c>
      <c r="G1" s="64" t="s">
        <v>1326</v>
      </c>
      <c r="H1" s="64" t="s">
        <v>1327</v>
      </c>
      <c r="I1" s="64"/>
      <c r="J1" s="64" t="s">
        <v>1325</v>
      </c>
      <c r="K1" s="64" t="s">
        <v>1314</v>
      </c>
      <c r="L1" s="64" t="s">
        <v>1327</v>
      </c>
      <c r="M1" s="64"/>
      <c r="N1" s="64" t="s">
        <v>1325</v>
      </c>
      <c r="O1" s="64" t="s">
        <v>1328</v>
      </c>
      <c r="P1" s="64" t="s">
        <v>1327</v>
      </c>
    </row>
    <row r="2" spans="2:19" ht="15.75" thickBot="1">
      <c r="B2" s="65" t="s">
        <v>1337</v>
      </c>
      <c r="C2" s="66" t="str">
        <f>IFERROR(VLOOKUP(B2,Roster!$A$2:$B$5000,2,FALSE),"-")</f>
        <v>-</v>
      </c>
      <c r="D2" s="66"/>
      <c r="F2" s="67">
        <f>COUNTIF(DOCK!A2,"&lt;&gt;"&amp;"")</f>
        <v>0</v>
      </c>
      <c r="G2" s="68" t="s">
        <v>1050</v>
      </c>
      <c r="H2" s="67">
        <f>COUNTIF($D:$D,G2)</f>
        <v>0</v>
      </c>
      <c r="I2" s="64"/>
      <c r="J2" s="67">
        <f>COUNTIF(PIT!A2:A100,"&lt;&gt;"&amp;"")</f>
        <v>0</v>
      </c>
      <c r="K2" s="69" t="s">
        <v>1040</v>
      </c>
      <c r="L2" s="67">
        <f>COUNTIF($D:$D,K2)</f>
        <v>0</v>
      </c>
      <c r="M2" s="64"/>
      <c r="N2" s="67">
        <f>COUNTIF(PS_ICQA_Learning!A3:A12,"&lt;&gt;"&amp;"")</f>
        <v>0</v>
      </c>
      <c r="O2" s="68" t="s">
        <v>1068</v>
      </c>
      <c r="P2" s="67">
        <f>COUNTIF($D:$D,O2)</f>
        <v>0</v>
      </c>
      <c r="R2" s="102" t="s">
        <v>1329</v>
      </c>
      <c r="S2" s="103"/>
    </row>
    <row r="3" spans="2:19" ht="15.75" thickBot="1">
      <c r="B3" s="65"/>
      <c r="C3" s="66" t="str">
        <f>IFERROR(VLOOKUP(B3,Roster!$A$2:$B$5000,2,FALSE),"-")</f>
        <v>-</v>
      </c>
      <c r="D3" s="66"/>
      <c r="F3" s="66">
        <f>COUNTIF(DOCK!A3:A4,"&lt;&gt;"&amp;"")</f>
        <v>0</v>
      </c>
      <c r="G3" s="70" t="s">
        <v>1153</v>
      </c>
      <c r="H3" s="67">
        <f t="shared" ref="H3:H29" si="0">COUNTIF($D:$D,G3)</f>
        <v>0</v>
      </c>
      <c r="I3" s="64"/>
      <c r="J3" s="66">
        <f>COUNTIF(PIT!E2:E5,"&lt;&gt;"&amp;"")</f>
        <v>0</v>
      </c>
      <c r="K3" s="71" t="s">
        <v>1042</v>
      </c>
      <c r="L3" s="67">
        <f t="shared" ref="L3:L29" si="1">COUNTIF($D:$D,K3)</f>
        <v>0</v>
      </c>
      <c r="M3" s="64"/>
      <c r="N3" s="66">
        <f>COUNTIF(PS_ICQA_Learning!A13:A22,"&lt;&gt;"&amp;"")</f>
        <v>0</v>
      </c>
      <c r="O3" s="70" t="s">
        <v>1069</v>
      </c>
      <c r="P3" s="67">
        <f t="shared" ref="P3:P29" si="2">COUNTIF($D:$D,O3)</f>
        <v>0</v>
      </c>
      <c r="R3" s="104">
        <f>SUM(F30,J30,N30)</f>
        <v>0</v>
      </c>
      <c r="S3" s="105"/>
    </row>
    <row r="4" spans="2:19" ht="15.75" thickBot="1">
      <c r="B4" s="65"/>
      <c r="C4" s="66" t="str">
        <f>IFERROR(VLOOKUP(B4,Roster!$A$2:$B$5000,2,FALSE),"-")</f>
        <v>-</v>
      </c>
      <c r="D4" s="66"/>
      <c r="F4" s="66">
        <f>COUNTIF(DOCK!A5,"&lt;&gt;"&amp;"")</f>
        <v>0</v>
      </c>
      <c r="G4" s="70" t="s">
        <v>1051</v>
      </c>
      <c r="H4" s="67">
        <f t="shared" si="0"/>
        <v>0</v>
      </c>
      <c r="I4" s="64"/>
      <c r="J4" s="66">
        <f>COUNTIF(PIT!E8:E10,"&lt;&gt;"&amp;"")</f>
        <v>0</v>
      </c>
      <c r="K4" s="71" t="s">
        <v>1043</v>
      </c>
      <c r="L4" s="67">
        <f t="shared" si="1"/>
        <v>0</v>
      </c>
      <c r="M4" s="64"/>
      <c r="N4" s="66">
        <f>COUNTIF(PS_ICQA_Learning!A23:A32,"&lt;&gt;"&amp;"")</f>
        <v>0</v>
      </c>
      <c r="O4" s="70" t="s">
        <v>1070</v>
      </c>
      <c r="P4" s="67">
        <f t="shared" si="2"/>
        <v>0</v>
      </c>
      <c r="R4" s="102" t="s">
        <v>1330</v>
      </c>
      <c r="S4" s="103"/>
    </row>
    <row r="5" spans="2:19" ht="15.75" thickBot="1">
      <c r="B5" s="65"/>
      <c r="C5" s="66" t="str">
        <f>IFERROR(VLOOKUP(B5,Roster!$A$2:$B$5000,2,FALSE),"-")</f>
        <v>-</v>
      </c>
      <c r="D5" s="66"/>
      <c r="F5" s="67">
        <f>COUNTIF(DOCK!A5,"&lt;&gt;"&amp;"")</f>
        <v>0</v>
      </c>
      <c r="G5" s="70" t="s">
        <v>1154</v>
      </c>
      <c r="H5" s="67">
        <f t="shared" si="0"/>
        <v>0</v>
      </c>
      <c r="I5" s="64"/>
      <c r="J5" s="66">
        <f>COUNTIF(PIT!E11:E12,"&lt;&gt;"&amp;"")</f>
        <v>0</v>
      </c>
      <c r="K5" s="71" t="s">
        <v>1315</v>
      </c>
      <c r="L5" s="67">
        <f t="shared" si="1"/>
        <v>0</v>
      </c>
      <c r="M5" s="64"/>
      <c r="N5" s="66">
        <f>COUNTIF(PS_ICQA_Learning!A33:A42,"&lt;&gt;"&amp;"")</f>
        <v>0</v>
      </c>
      <c r="O5" s="70" t="s">
        <v>1071</v>
      </c>
      <c r="P5" s="67">
        <f t="shared" si="2"/>
        <v>0</v>
      </c>
      <c r="R5" s="104">
        <f>COUNTIF(B2:B1000,"&lt;&gt;"&amp;"")</f>
        <v>1</v>
      </c>
      <c r="S5" s="105"/>
    </row>
    <row r="6" spans="2:19" ht="15.75" thickBot="1">
      <c r="B6" s="65"/>
      <c r="C6" s="66" t="str">
        <f>IFERROR(VLOOKUP(B6,Roster!$A$2:$B$5000,2,FALSE),"-")</f>
        <v>-</v>
      </c>
      <c r="D6" s="66"/>
      <c r="F6" s="66">
        <f>COUNTIF(DOCK!A6:A7,"&lt;&gt;"&amp;"")</f>
        <v>0</v>
      </c>
      <c r="G6" s="70" t="s">
        <v>1155</v>
      </c>
      <c r="H6" s="67">
        <f t="shared" si="0"/>
        <v>0</v>
      </c>
      <c r="I6" s="64"/>
      <c r="J6" s="66">
        <f>COUNTIF(PIT!E15:E19,"&lt;&gt;"&amp;"")</f>
        <v>0</v>
      </c>
      <c r="K6" s="71" t="s">
        <v>1044</v>
      </c>
      <c r="L6" s="67">
        <f t="shared" si="1"/>
        <v>0</v>
      </c>
      <c r="M6" s="64"/>
      <c r="N6" s="66">
        <f>COUNTIF(PS_ICQA_Learning!E4:E8,"&lt;&gt;"&amp;"")</f>
        <v>0</v>
      </c>
      <c r="O6" s="70" t="s">
        <v>1081</v>
      </c>
      <c r="P6" s="67">
        <f t="shared" si="2"/>
        <v>0</v>
      </c>
    </row>
    <row r="7" spans="2:19" ht="15.75" thickBot="1">
      <c r="B7" s="65"/>
      <c r="C7" s="66" t="str">
        <f>IFERROR(VLOOKUP(B7,Roster!$A$2:$B$5000,2,FALSE),"-")</f>
        <v>-</v>
      </c>
      <c r="D7" s="66"/>
      <c r="F7" s="66">
        <f>COUNTIF(DOCK!A8,"&lt;&gt;"&amp;"")</f>
        <v>0</v>
      </c>
      <c r="G7" s="70" t="s">
        <v>1156</v>
      </c>
      <c r="H7" s="67">
        <f t="shared" si="0"/>
        <v>0</v>
      </c>
      <c r="I7" s="64"/>
      <c r="J7" s="66">
        <f>COUNTIF(PIT!I2:I7,"&lt;&gt;"&amp;"")</f>
        <v>0</v>
      </c>
      <c r="K7" s="71" t="s">
        <v>1045</v>
      </c>
      <c r="L7" s="67">
        <f t="shared" si="1"/>
        <v>0</v>
      </c>
      <c r="M7" s="64"/>
      <c r="N7" s="66">
        <f>COUNTIF(PS_ICQA_Learning!E9:E13,"&lt;&gt;"&amp;"")</f>
        <v>0</v>
      </c>
      <c r="O7" s="70" t="s">
        <v>1076</v>
      </c>
      <c r="P7" s="67">
        <f t="shared" si="2"/>
        <v>0</v>
      </c>
    </row>
    <row r="8" spans="2:19" ht="15.75" thickBot="1">
      <c r="B8" s="65"/>
      <c r="C8" s="66" t="str">
        <f>IFERROR(VLOOKUP(B8,Roster!$A$2:$B$5000,2,FALSE),"-")</f>
        <v>-</v>
      </c>
      <c r="D8" s="66"/>
      <c r="F8" s="67">
        <f>COUNTIF(DOCK!A8,"&lt;&gt;"&amp;"")</f>
        <v>0</v>
      </c>
      <c r="G8" s="70" t="s">
        <v>1052</v>
      </c>
      <c r="H8" s="67">
        <f t="shared" si="0"/>
        <v>0</v>
      </c>
      <c r="I8" s="64"/>
      <c r="J8" s="66">
        <f>COUNTIF(PIT!I10:I15,"&lt;&gt;"&amp;"")</f>
        <v>0</v>
      </c>
      <c r="K8" s="71" t="s">
        <v>1046</v>
      </c>
      <c r="L8" s="67">
        <f t="shared" si="1"/>
        <v>0</v>
      </c>
      <c r="M8" s="64"/>
      <c r="N8" s="66">
        <f>COUNTIF(PS_ICQA_Learning!E14:E18,"&lt;&gt;"&amp;"")</f>
        <v>0</v>
      </c>
      <c r="O8" s="70" t="s">
        <v>1077</v>
      </c>
      <c r="P8" s="67">
        <f t="shared" si="2"/>
        <v>0</v>
      </c>
    </row>
    <row r="9" spans="2:19" ht="15.75" thickBot="1">
      <c r="B9" s="65"/>
      <c r="C9" s="66" t="str">
        <f>IFERROR(VLOOKUP(B9,Roster!$A$2:$B$5000,2,FALSE),"-")</f>
        <v>-</v>
      </c>
      <c r="D9" s="66"/>
      <c r="F9" s="66">
        <f>COUNTIF(DOCK!A9:A10,"&lt;&gt;"&amp;"")</f>
        <v>0</v>
      </c>
      <c r="G9" s="70" t="s">
        <v>1053</v>
      </c>
      <c r="H9" s="67">
        <f t="shared" si="0"/>
        <v>0</v>
      </c>
      <c r="I9" s="64"/>
      <c r="J9" s="66">
        <f>COUNTIF(PIT!I18:I23,"&lt;&gt;"&amp;"")</f>
        <v>0</v>
      </c>
      <c r="K9" s="71" t="s">
        <v>1047</v>
      </c>
      <c r="L9" s="67">
        <f t="shared" si="1"/>
        <v>0</v>
      </c>
      <c r="M9" s="64"/>
      <c r="N9" s="66">
        <f>COUNTIF(PS_ICQA_Learning!I19:I23,"&lt;&gt;"&amp;"")</f>
        <v>0</v>
      </c>
      <c r="O9" s="70" t="s">
        <v>1078</v>
      </c>
      <c r="P9" s="67">
        <f t="shared" si="2"/>
        <v>0</v>
      </c>
    </row>
    <row r="10" spans="2:19" ht="15.75" thickBot="1">
      <c r="B10" s="65"/>
      <c r="C10" s="66" t="str">
        <f>IFERROR(VLOOKUP(B10,Roster!$A$2:$B$5000,2,FALSE),"-")</f>
        <v>-</v>
      </c>
      <c r="D10" s="66"/>
      <c r="F10" s="66">
        <f>COUNTIF(DOCK!A11,"&lt;&gt;"&amp;"")</f>
        <v>0</v>
      </c>
      <c r="G10" s="70" t="s">
        <v>1151</v>
      </c>
      <c r="H10" s="67">
        <f t="shared" si="0"/>
        <v>0</v>
      </c>
      <c r="I10" s="64"/>
      <c r="J10" s="66">
        <f>COUNTIF(PIT!M2:M7,"&lt;&gt;"&amp;"")</f>
        <v>0</v>
      </c>
      <c r="K10" s="71" t="s">
        <v>1048</v>
      </c>
      <c r="L10" s="67">
        <f t="shared" si="1"/>
        <v>0</v>
      </c>
      <c r="M10" s="64"/>
      <c r="N10" s="66">
        <f>COUNTIF(PS_ICQA_Learning!E24:E28,"&lt;&gt;"&amp;"")</f>
        <v>0</v>
      </c>
      <c r="O10" s="70" t="s">
        <v>1079</v>
      </c>
      <c r="P10" s="67">
        <f t="shared" si="2"/>
        <v>0</v>
      </c>
    </row>
    <row r="11" spans="2:19" ht="15.75" thickBot="1">
      <c r="B11" s="65"/>
      <c r="C11" s="66" t="str">
        <f>IFERROR(VLOOKUP(B11,Roster!$A$2:$B$5000,2,FALSE),"-")</f>
        <v>-</v>
      </c>
      <c r="D11" s="66"/>
      <c r="F11" s="67">
        <f>COUNTIF(DOCK!A11,"&lt;&gt;"&amp;"")</f>
        <v>0</v>
      </c>
      <c r="G11" s="70" t="s">
        <v>1152</v>
      </c>
      <c r="H11" s="67">
        <f t="shared" si="0"/>
        <v>0</v>
      </c>
      <c r="I11" s="64"/>
      <c r="J11" s="66">
        <f>COUNTIF(PIT!M10:M15,"&lt;&gt;"&amp;"")</f>
        <v>0</v>
      </c>
      <c r="K11" s="71" t="s">
        <v>1049</v>
      </c>
      <c r="L11" s="67">
        <f t="shared" si="1"/>
        <v>0</v>
      </c>
      <c r="M11" s="64"/>
      <c r="N11" s="66">
        <f>COUNTIF(PS_ICQA_Learning!I4:I8,"&lt;&gt;"&amp;"")</f>
        <v>0</v>
      </c>
      <c r="O11" s="70" t="s">
        <v>1081</v>
      </c>
      <c r="P11" s="67">
        <f t="shared" si="2"/>
        <v>0</v>
      </c>
    </row>
    <row r="12" spans="2:19" ht="15.75" thickBot="1">
      <c r="B12" s="65"/>
      <c r="C12" s="66" t="str">
        <f>IFERROR(VLOOKUP(B12,Roster!$A$2:$B$5000,2,FALSE),"-")</f>
        <v>-</v>
      </c>
      <c r="D12" s="66"/>
      <c r="F12" s="66">
        <f>COUNTIF(DOCK!A12:A13,"&lt;&gt;"&amp;"")</f>
        <v>0</v>
      </c>
      <c r="G12" s="70" t="s">
        <v>1158</v>
      </c>
      <c r="H12" s="67">
        <f t="shared" si="0"/>
        <v>0</v>
      </c>
      <c r="I12" s="64"/>
      <c r="J12" s="66">
        <f>COUNTIF(PIT!Q2:Q100,"&lt;&gt;"&amp;"")</f>
        <v>0</v>
      </c>
      <c r="K12" s="71" t="s">
        <v>1041</v>
      </c>
      <c r="L12" s="67">
        <f t="shared" si="1"/>
        <v>0</v>
      </c>
      <c r="M12" s="64"/>
      <c r="N12" s="66">
        <f>COUNTIF(PS_ICQA_Learning!I9:I13,"&lt;&gt;"&amp;"")</f>
        <v>0</v>
      </c>
      <c r="O12" s="70" t="s">
        <v>1082</v>
      </c>
      <c r="P12" s="67">
        <f t="shared" si="2"/>
        <v>0</v>
      </c>
    </row>
    <row r="13" spans="2:19" ht="15.75" thickBot="1">
      <c r="B13" s="65"/>
      <c r="C13" s="66" t="str">
        <f>IFERROR(VLOOKUP(B13,Roster!$A$2:$B$5000,2,FALSE),"-")</f>
        <v>-</v>
      </c>
      <c r="D13" s="66"/>
      <c r="F13" s="66">
        <f>COUNTIF(DOCK!A14,"&lt;&gt;"&amp;"")</f>
        <v>0</v>
      </c>
      <c r="G13" s="70" t="s">
        <v>1292</v>
      </c>
      <c r="H13" s="67">
        <f t="shared" si="0"/>
        <v>0</v>
      </c>
      <c r="I13" s="64"/>
      <c r="J13" s="66"/>
      <c r="K13" s="71"/>
      <c r="L13" s="67">
        <f t="shared" si="1"/>
        <v>0</v>
      </c>
      <c r="M13" s="64"/>
      <c r="N13" s="66">
        <f>COUNTIF(PS_ICQA_Learning!I14:I18,"&lt;&gt;"&amp;"")</f>
        <v>0</v>
      </c>
      <c r="O13" s="70" t="s">
        <v>1083</v>
      </c>
      <c r="P13" s="67">
        <f t="shared" si="2"/>
        <v>0</v>
      </c>
    </row>
    <row r="14" spans="2:19" ht="15.75" thickBot="1">
      <c r="B14" s="65"/>
      <c r="C14" s="66" t="str">
        <f>IFERROR(VLOOKUP(B14,Roster!$A$2:$B$5000,2,FALSE),"-")</f>
        <v>-</v>
      </c>
      <c r="D14" s="66"/>
      <c r="F14" s="67">
        <f>COUNTIF(DOCK!A14,"&lt;&gt;"&amp;"")</f>
        <v>0</v>
      </c>
      <c r="G14" s="70" t="s">
        <v>1293</v>
      </c>
      <c r="H14" s="67">
        <f t="shared" si="0"/>
        <v>0</v>
      </c>
      <c r="I14" s="64"/>
      <c r="J14" s="66"/>
      <c r="K14" s="71"/>
      <c r="L14" s="67">
        <f t="shared" si="1"/>
        <v>0</v>
      </c>
      <c r="M14" s="64"/>
      <c r="N14" s="66">
        <f>COUNTIF(PS_ICQA_Learning!I19:I23,"&lt;&gt;"&amp;"")</f>
        <v>0</v>
      </c>
      <c r="O14" s="70" t="s">
        <v>1084</v>
      </c>
      <c r="P14" s="67">
        <f t="shared" si="2"/>
        <v>0</v>
      </c>
    </row>
    <row r="15" spans="2:19" ht="15.75" thickBot="1">
      <c r="B15" s="65"/>
      <c r="C15" s="66" t="str">
        <f>IFERROR(VLOOKUP(B15,Roster!$A$2:$B$5000,2,FALSE),"-")</f>
        <v>-</v>
      </c>
      <c r="D15" s="66"/>
      <c r="F15" s="66">
        <f>COUNTIF(DOCK!A15:A16,"&lt;&gt;"&amp;"")</f>
        <v>0</v>
      </c>
      <c r="G15" s="70" t="s">
        <v>1054</v>
      </c>
      <c r="H15" s="67">
        <f t="shared" si="0"/>
        <v>0</v>
      </c>
      <c r="I15" s="64"/>
      <c r="J15" s="66"/>
      <c r="K15" s="71"/>
      <c r="L15" s="67">
        <f t="shared" si="1"/>
        <v>0</v>
      </c>
      <c r="M15" s="64"/>
      <c r="N15" s="66">
        <f>COUNTIF(PS_ICQA_Learning!I24:I28,"&lt;&gt;"&amp;"")</f>
        <v>0</v>
      </c>
      <c r="O15" s="70" t="s">
        <v>1085</v>
      </c>
      <c r="P15" s="67">
        <f t="shared" si="2"/>
        <v>0</v>
      </c>
    </row>
    <row r="16" spans="2:19" ht="15.75" thickBot="1">
      <c r="B16" s="65"/>
      <c r="C16" s="66" t="str">
        <f>IFERROR(VLOOKUP(B16,Roster!$A$2:$B$5000,2,FALSE),"-")</f>
        <v>-</v>
      </c>
      <c r="D16" s="66"/>
      <c r="F16" s="66">
        <f>COUNTIF(DOCK!A17,"&lt;&gt;"&amp;"")</f>
        <v>0</v>
      </c>
      <c r="G16" s="70" t="s">
        <v>1055</v>
      </c>
      <c r="H16" s="67">
        <f t="shared" si="0"/>
        <v>0</v>
      </c>
      <c r="I16" s="64"/>
      <c r="J16" s="66"/>
      <c r="K16" s="71"/>
      <c r="L16" s="67">
        <f t="shared" si="1"/>
        <v>0</v>
      </c>
      <c r="M16" s="64"/>
      <c r="N16" s="66">
        <f>COUNTIF(PS_ICQA_Learning!M3:M27,"&lt;&gt;"&amp;"")</f>
        <v>0</v>
      </c>
      <c r="O16" s="70" t="s">
        <v>1086</v>
      </c>
      <c r="P16" s="67">
        <f>COUNTIF($D:$D,O16)</f>
        <v>0</v>
      </c>
    </row>
    <row r="17" spans="2:16" ht="15.75" thickBot="1">
      <c r="B17" s="65"/>
      <c r="C17" s="66" t="str">
        <f>IFERROR(VLOOKUP(B17,Roster!$A$2:$B$5000,2,FALSE),"-")</f>
        <v>-</v>
      </c>
      <c r="D17" s="66"/>
      <c r="F17" s="67">
        <f>COUNTIF(DOCK!A17,"&lt;&gt;"&amp;"")</f>
        <v>0</v>
      </c>
      <c r="G17" s="70" t="s">
        <v>1057</v>
      </c>
      <c r="H17" s="67">
        <f t="shared" si="0"/>
        <v>0</v>
      </c>
      <c r="I17" s="64"/>
      <c r="J17" s="66"/>
      <c r="K17" s="71"/>
      <c r="L17" s="67">
        <f t="shared" si="1"/>
        <v>0</v>
      </c>
      <c r="M17" s="64"/>
      <c r="N17" s="66"/>
      <c r="O17" s="70"/>
      <c r="P17" s="67">
        <f t="shared" si="2"/>
        <v>0</v>
      </c>
    </row>
    <row r="18" spans="2:16" ht="15.75" thickBot="1">
      <c r="B18" s="65"/>
      <c r="C18" s="66" t="str">
        <f>IFERROR(VLOOKUP(B18,Roster!$A$2:$B$5000,2,FALSE),"-")</f>
        <v>-</v>
      </c>
      <c r="D18" s="66"/>
      <c r="F18" s="66">
        <f>COUNTIF(DOCK!A18:A19,"&lt;&gt;"&amp;"")</f>
        <v>0</v>
      </c>
      <c r="G18" s="70" t="s">
        <v>1056</v>
      </c>
      <c r="H18" s="67">
        <f t="shared" si="0"/>
        <v>0</v>
      </c>
      <c r="I18" s="64"/>
      <c r="J18" s="66"/>
      <c r="K18" s="71"/>
      <c r="L18" s="67">
        <f t="shared" si="1"/>
        <v>0</v>
      </c>
      <c r="M18" s="64"/>
      <c r="N18" s="66"/>
      <c r="O18" s="70"/>
      <c r="P18" s="67">
        <f t="shared" si="2"/>
        <v>0</v>
      </c>
    </row>
    <row r="19" spans="2:16" ht="15.75" thickBot="1">
      <c r="B19" s="65"/>
      <c r="C19" s="66" t="str">
        <f>IFERROR(VLOOKUP(B19,Roster!$A$2:$B$5000,2,FALSE),"-")</f>
        <v>-</v>
      </c>
      <c r="D19" s="66"/>
      <c r="F19" s="66">
        <f>COUNTIF(DOCK!A20,"&lt;&gt;"&amp;"")</f>
        <v>0</v>
      </c>
      <c r="G19" s="70" t="s">
        <v>1058</v>
      </c>
      <c r="H19" s="67">
        <f t="shared" si="0"/>
        <v>0</v>
      </c>
      <c r="I19" s="64"/>
      <c r="J19" s="66"/>
      <c r="K19" s="71"/>
      <c r="L19" s="67">
        <f t="shared" si="1"/>
        <v>0</v>
      </c>
      <c r="M19" s="64"/>
      <c r="N19" s="66"/>
      <c r="O19" s="70"/>
      <c r="P19" s="67">
        <f t="shared" si="2"/>
        <v>0</v>
      </c>
    </row>
    <row r="20" spans="2:16" ht="15.75" thickBot="1">
      <c r="B20" s="65"/>
      <c r="C20" s="66" t="str">
        <f>IFERROR(VLOOKUP(B20,Roster!$A$2:$B$5000,2,FALSE),"-")</f>
        <v>-</v>
      </c>
      <c r="D20" s="66"/>
      <c r="F20" s="67">
        <f>COUNTIF(DOCK!A20,"&lt;&gt;"&amp;"")</f>
        <v>0</v>
      </c>
      <c r="G20" s="70" t="s">
        <v>1059</v>
      </c>
      <c r="H20" s="67">
        <f t="shared" si="0"/>
        <v>0</v>
      </c>
      <c r="I20" s="64"/>
      <c r="J20" s="66"/>
      <c r="K20" s="71"/>
      <c r="L20" s="67">
        <f t="shared" si="1"/>
        <v>0</v>
      </c>
      <c r="M20" s="64"/>
      <c r="N20" s="66"/>
      <c r="O20" s="70" t="s">
        <v>1331</v>
      </c>
      <c r="P20" s="67">
        <f t="shared" si="2"/>
        <v>0</v>
      </c>
    </row>
    <row r="21" spans="2:16" ht="15.75" thickBot="1">
      <c r="B21" s="65"/>
      <c r="C21" s="66" t="str">
        <f>IFERROR(VLOOKUP(B21,Roster!$A$2:$B$5000,2,FALSE),"-")</f>
        <v>-</v>
      </c>
      <c r="D21" s="66"/>
      <c r="F21" s="66">
        <f>COUNTIF(DOCK!A21:A22,"&lt;&gt;"&amp;"")</f>
        <v>0</v>
      </c>
      <c r="G21" s="70" t="s">
        <v>1060</v>
      </c>
      <c r="H21" s="67">
        <f t="shared" si="0"/>
        <v>0</v>
      </c>
      <c r="I21" s="64"/>
      <c r="J21" s="66"/>
      <c r="K21" s="71"/>
      <c r="L21" s="67">
        <f t="shared" si="1"/>
        <v>0</v>
      </c>
      <c r="M21" s="64"/>
      <c r="N21" s="66"/>
      <c r="O21" s="70"/>
      <c r="P21" s="67">
        <f t="shared" si="2"/>
        <v>0</v>
      </c>
    </row>
    <row r="22" spans="2:16" ht="15.75" thickBot="1">
      <c r="B22" s="65"/>
      <c r="C22" s="66" t="str">
        <f>IFERROR(VLOOKUP(B22,Roster!$A$2:$B$5000,2,FALSE),"-")</f>
        <v>-</v>
      </c>
      <c r="D22" s="66"/>
      <c r="F22" s="66">
        <f>COUNTIF(DOCK!A23,"&lt;&gt;"&amp;"")</f>
        <v>0</v>
      </c>
      <c r="G22" s="70" t="s">
        <v>1061</v>
      </c>
      <c r="H22" s="67">
        <f t="shared" si="0"/>
        <v>0</v>
      </c>
      <c r="I22" s="64"/>
      <c r="J22" s="66"/>
      <c r="K22" s="71"/>
      <c r="L22" s="67">
        <f t="shared" si="1"/>
        <v>0</v>
      </c>
      <c r="M22" s="64"/>
      <c r="N22" s="66"/>
      <c r="O22" s="70"/>
      <c r="P22" s="67">
        <f t="shared" si="2"/>
        <v>0</v>
      </c>
    </row>
    <row r="23" spans="2:16" ht="15.75" thickBot="1">
      <c r="B23" s="65"/>
      <c r="C23" s="66" t="str">
        <f>IFERROR(VLOOKUP(B23,Roster!$A$2:$B$5000,2,FALSE),"-")</f>
        <v>-</v>
      </c>
      <c r="D23" s="66"/>
      <c r="F23" s="67">
        <f>COUNTIF(DOCK!A23,"&lt;&gt;"&amp;"")</f>
        <v>0</v>
      </c>
      <c r="G23" s="70" t="s">
        <v>1062</v>
      </c>
      <c r="H23" s="67">
        <f t="shared" si="0"/>
        <v>0</v>
      </c>
      <c r="I23" s="64"/>
      <c r="J23" s="66"/>
      <c r="K23" s="71"/>
      <c r="L23" s="67">
        <f t="shared" si="1"/>
        <v>0</v>
      </c>
      <c r="M23" s="64"/>
      <c r="N23" s="66"/>
      <c r="O23" s="70"/>
      <c r="P23" s="67">
        <f t="shared" si="2"/>
        <v>0</v>
      </c>
    </row>
    <row r="24" spans="2:16" ht="15.75" thickBot="1">
      <c r="B24" s="65"/>
      <c r="C24" s="66" t="str">
        <f>IFERROR(VLOOKUP(B24,Roster!$A$2:$B$5000,2,FALSE),"-")</f>
        <v>-</v>
      </c>
      <c r="D24" s="66"/>
      <c r="F24" s="66">
        <f>COUNTIF(DOCK!A24:A25,"&lt;&gt;"&amp;"")</f>
        <v>0</v>
      </c>
      <c r="G24" s="70" t="s">
        <v>1063</v>
      </c>
      <c r="H24" s="67">
        <f t="shared" si="0"/>
        <v>0</v>
      </c>
      <c r="I24" s="64"/>
      <c r="J24" s="66"/>
      <c r="K24" s="71"/>
      <c r="L24" s="67">
        <f t="shared" si="1"/>
        <v>0</v>
      </c>
      <c r="M24" s="64"/>
      <c r="N24" s="66"/>
      <c r="O24" s="70"/>
      <c r="P24" s="67">
        <f t="shared" si="2"/>
        <v>0</v>
      </c>
    </row>
    <row r="25" spans="2:16" ht="15.75" thickBot="1">
      <c r="B25" s="65"/>
      <c r="C25" s="66" t="str">
        <f>IFERROR(VLOOKUP(B25,Roster!$A$2:$B$5000,2,FALSE),"-")</f>
        <v>-</v>
      </c>
      <c r="D25" s="66"/>
      <c r="F25" s="66">
        <f>COUNTIF(DOCK!A26,"&lt;&gt;"&amp;"")</f>
        <v>0</v>
      </c>
      <c r="G25" s="70" t="s">
        <v>1064</v>
      </c>
      <c r="H25" s="67">
        <f t="shared" si="0"/>
        <v>0</v>
      </c>
      <c r="I25" s="64"/>
      <c r="J25" s="66"/>
      <c r="K25" s="71"/>
      <c r="L25" s="67">
        <f t="shared" si="1"/>
        <v>0</v>
      </c>
      <c r="M25" s="64"/>
      <c r="N25" s="66"/>
      <c r="O25" s="70"/>
      <c r="P25" s="67">
        <f t="shared" si="2"/>
        <v>0</v>
      </c>
    </row>
    <row r="26" spans="2:16" ht="15.75" thickBot="1">
      <c r="B26" s="65"/>
      <c r="C26" s="66" t="str">
        <f>IFERROR(VLOOKUP(B26,Roster!$A$2:$B$5000,2,FALSE),"-")</f>
        <v>-</v>
      </c>
      <c r="D26" s="66"/>
      <c r="F26" s="67">
        <f>COUNTIF(DOCK!A26,"&lt;&gt;"&amp;"")</f>
        <v>0</v>
      </c>
      <c r="G26" s="70" t="s">
        <v>1065</v>
      </c>
      <c r="H26" s="67">
        <f t="shared" si="0"/>
        <v>0</v>
      </c>
      <c r="I26" s="64"/>
      <c r="J26" s="66"/>
      <c r="K26" s="71"/>
      <c r="L26" s="67">
        <f t="shared" si="1"/>
        <v>0</v>
      </c>
      <c r="M26" s="64"/>
      <c r="N26" s="66"/>
      <c r="O26" s="70"/>
      <c r="P26" s="67">
        <f t="shared" si="2"/>
        <v>0</v>
      </c>
    </row>
    <row r="27" spans="2:16" ht="15.75" thickBot="1">
      <c r="B27" s="65"/>
      <c r="C27" s="66" t="str">
        <f>IFERROR(VLOOKUP(B27,Roster!$A$2:$B$5000,2,FALSE),"-")</f>
        <v>-</v>
      </c>
      <c r="D27" s="66"/>
      <c r="F27" s="66">
        <f>COUNTIF(DOCK!A27:A28,"&lt;&gt;"&amp;"")</f>
        <v>0</v>
      </c>
      <c r="G27" s="70" t="s">
        <v>1332</v>
      </c>
      <c r="H27" s="67">
        <f t="shared" si="0"/>
        <v>0</v>
      </c>
      <c r="I27" s="64"/>
      <c r="J27" s="66"/>
      <c r="K27" s="71"/>
      <c r="L27" s="67">
        <f t="shared" si="1"/>
        <v>0</v>
      </c>
      <c r="M27" s="64"/>
      <c r="N27" s="66"/>
      <c r="O27" s="70"/>
      <c r="P27" s="67">
        <f t="shared" si="2"/>
        <v>0</v>
      </c>
    </row>
    <row r="28" spans="2:16" ht="15.75" thickBot="1">
      <c r="B28" s="65"/>
      <c r="C28" s="66" t="str">
        <f>IFERROR(VLOOKUP(B28,Roster!$A$2:$B$5000,2,FALSE),"-")</f>
        <v>-</v>
      </c>
      <c r="D28" s="66"/>
      <c r="F28" s="66">
        <f>COUNTIF(DOCK!A29,"&lt;&gt;"&amp;"")</f>
        <v>0</v>
      </c>
      <c r="G28" s="70" t="s">
        <v>1067</v>
      </c>
      <c r="H28" s="67">
        <f t="shared" si="0"/>
        <v>0</v>
      </c>
      <c r="I28" s="64"/>
      <c r="J28" s="66"/>
      <c r="K28" s="71"/>
      <c r="L28" s="67">
        <f t="shared" si="1"/>
        <v>0</v>
      </c>
      <c r="M28" s="64"/>
      <c r="N28" s="66"/>
      <c r="O28" s="70"/>
      <c r="P28" s="67">
        <f t="shared" si="2"/>
        <v>0</v>
      </c>
    </row>
    <row r="29" spans="2:16" ht="15.75" thickBot="1">
      <c r="B29" s="65"/>
      <c r="C29" s="66" t="str">
        <f>IFERROR(VLOOKUP(B29,Roster!$A$2:$B$5000,2,FALSE),"-")</f>
        <v>-</v>
      </c>
      <c r="D29" s="66"/>
      <c r="F29" s="67">
        <f>COUNTIF(DOCK!A29,"&lt;&gt;"&amp;"")</f>
        <v>0</v>
      </c>
      <c r="G29" s="70" t="s">
        <v>1159</v>
      </c>
      <c r="H29" s="67">
        <f t="shared" si="0"/>
        <v>0</v>
      </c>
      <c r="I29" s="64"/>
      <c r="J29" s="66"/>
      <c r="K29" s="71"/>
      <c r="L29" s="67">
        <f t="shared" si="1"/>
        <v>0</v>
      </c>
      <c r="M29" s="64"/>
      <c r="N29" s="66"/>
      <c r="O29" s="70"/>
      <c r="P29" s="67">
        <f t="shared" si="2"/>
        <v>0</v>
      </c>
    </row>
    <row r="30" spans="2:16" ht="15.75" thickBot="1">
      <c r="B30" s="65"/>
      <c r="C30" s="66" t="str">
        <f>IFERROR(VLOOKUP(B30,Roster!$A$2:$B$5000,2,FALSE),"-")</f>
        <v>-</v>
      </c>
      <c r="D30" s="66"/>
      <c r="F30" s="72">
        <f>SUM(F2:F29)</f>
        <v>0</v>
      </c>
      <c r="G30" s="73" t="s">
        <v>1333</v>
      </c>
      <c r="H30" s="72">
        <f>SUM(H2:H29)</f>
        <v>0</v>
      </c>
      <c r="I30" s="64"/>
      <c r="J30" s="72">
        <f>SUM(J2:J29)</f>
        <v>0</v>
      </c>
      <c r="K30" s="73" t="s">
        <v>1333</v>
      </c>
      <c r="L30" s="72">
        <f>SUM(L2:L29)</f>
        <v>0</v>
      </c>
      <c r="M30" s="64"/>
      <c r="N30" s="72">
        <f>SUM(N2:N29)</f>
        <v>0</v>
      </c>
      <c r="O30" s="73" t="s">
        <v>1333</v>
      </c>
      <c r="P30" s="72">
        <f>SUM(P2:P29)</f>
        <v>0</v>
      </c>
    </row>
    <row r="31" spans="2:16">
      <c r="B31" s="65"/>
      <c r="C31" s="66" t="str">
        <f>IFERROR(VLOOKUP(B31,Roster!$A$2:$B$5000,2,FALSE),"-")</f>
        <v>-</v>
      </c>
      <c r="D31" s="66"/>
    </row>
    <row r="32" spans="2:16">
      <c r="B32" s="65"/>
      <c r="C32" s="66" t="str">
        <f>IFERROR(VLOOKUP(B32,Roster!$A$2:$B$5000,2,FALSE),"-")</f>
        <v>-</v>
      </c>
      <c r="D32" s="66"/>
    </row>
    <row r="33" spans="2:4">
      <c r="B33" s="65"/>
      <c r="C33" s="66" t="str">
        <f>IFERROR(VLOOKUP(B33,Roster!$A$2:$B$5000,2,FALSE),"-")</f>
        <v>-</v>
      </c>
      <c r="D33" s="66"/>
    </row>
    <row r="34" spans="2:4">
      <c r="B34" s="65"/>
      <c r="C34" s="66" t="str">
        <f>IFERROR(VLOOKUP(B34,Roster!$A$2:$B$5000,2,FALSE),"-")</f>
        <v>-</v>
      </c>
      <c r="D34" s="66"/>
    </row>
    <row r="35" spans="2:4">
      <c r="B35" s="65"/>
      <c r="C35" s="66" t="str">
        <f>IFERROR(VLOOKUP(B35,Roster!$A$2:$B$5000,2,FALSE),"-")</f>
        <v>-</v>
      </c>
      <c r="D35" s="66"/>
    </row>
    <row r="36" spans="2:4">
      <c r="B36" s="65"/>
      <c r="C36" s="66" t="str">
        <f>IFERROR(VLOOKUP(B36,Roster!$A$2:$B$5000,2,FALSE),"-")</f>
        <v>-</v>
      </c>
      <c r="D36" s="66"/>
    </row>
    <row r="37" spans="2:4">
      <c r="B37" s="65"/>
      <c r="C37" s="66" t="str">
        <f>IFERROR(VLOOKUP(B37,Roster!$A$2:$B$5000,2,FALSE),"-")</f>
        <v>-</v>
      </c>
      <c r="D37" s="66"/>
    </row>
    <row r="38" spans="2:4">
      <c r="B38" s="65"/>
      <c r="C38" s="66" t="str">
        <f>IFERROR(VLOOKUP(B38,Roster!$A$2:$B$5000,2,FALSE),"-")</f>
        <v>-</v>
      </c>
      <c r="D38" s="66"/>
    </row>
    <row r="39" spans="2:4">
      <c r="B39" s="65"/>
      <c r="C39" s="66" t="str">
        <f>IFERROR(VLOOKUP(B39,Roster!$A$2:$B$5000,2,FALSE),"-")</f>
        <v>-</v>
      </c>
      <c r="D39" s="66"/>
    </row>
    <row r="40" spans="2:4">
      <c r="B40" s="65"/>
      <c r="C40" s="66" t="str">
        <f>IFERROR(VLOOKUP(B40,Roster!$A$2:$B$5000,2,FALSE),"-")</f>
        <v>-</v>
      </c>
      <c r="D40" s="66"/>
    </row>
    <row r="41" spans="2:4">
      <c r="B41" s="65"/>
      <c r="C41" s="66" t="str">
        <f>IFERROR(VLOOKUP(B41,Roster!$A$2:$B$5000,2,FALSE),"-")</f>
        <v>-</v>
      </c>
      <c r="D41" s="66"/>
    </row>
    <row r="42" spans="2:4">
      <c r="B42" s="65"/>
      <c r="C42" s="66" t="str">
        <f>IFERROR(VLOOKUP(B42,Roster!$A$2:$B$5000,2,FALSE),"-")</f>
        <v>-</v>
      </c>
      <c r="D42" s="66"/>
    </row>
    <row r="43" spans="2:4">
      <c r="B43" s="65"/>
      <c r="C43" s="66" t="str">
        <f>IFERROR(VLOOKUP(B43,Roster!$A$2:$B$5000,2,FALSE),"-")</f>
        <v>-</v>
      </c>
      <c r="D43" s="66"/>
    </row>
    <row r="44" spans="2:4">
      <c r="B44" s="65"/>
      <c r="C44" s="66" t="str">
        <f>IFERROR(VLOOKUP(B44,Roster!$A$2:$B$5000,2,FALSE),"-")</f>
        <v>-</v>
      </c>
      <c r="D44" s="66"/>
    </row>
    <row r="45" spans="2:4">
      <c r="B45" s="65"/>
      <c r="C45" s="66" t="str">
        <f>IFERROR(VLOOKUP(B45,Roster!$A$2:$B$5000,2,FALSE),"-")</f>
        <v>-</v>
      </c>
      <c r="D45" s="66"/>
    </row>
    <row r="46" spans="2:4">
      <c r="B46" s="65"/>
      <c r="C46" s="66" t="str">
        <f>IFERROR(VLOOKUP(B46,Roster!$A$2:$B$5000,2,FALSE),"-")</f>
        <v>-</v>
      </c>
      <c r="D46" s="66"/>
    </row>
    <row r="47" spans="2:4">
      <c r="B47" s="65"/>
      <c r="C47" s="66" t="str">
        <f>IFERROR(VLOOKUP(B47,Roster!$A$2:$B$5000,2,FALSE),"-")</f>
        <v>-</v>
      </c>
      <c r="D47" s="66"/>
    </row>
    <row r="48" spans="2:4">
      <c r="B48" s="65"/>
      <c r="C48" s="66" t="str">
        <f>IFERROR(VLOOKUP(B48,Roster!$A$2:$B$5000,2,FALSE),"-")</f>
        <v>-</v>
      </c>
      <c r="D48" s="66"/>
    </row>
    <row r="49" spans="2:4">
      <c r="B49" s="65"/>
      <c r="C49" s="66" t="str">
        <f>IFERROR(VLOOKUP(B49,Roster!$A$2:$B$5000,2,FALSE),"-")</f>
        <v>-</v>
      </c>
      <c r="D49" s="66"/>
    </row>
    <row r="50" spans="2:4">
      <c r="B50" s="65"/>
      <c r="C50" s="66" t="str">
        <f>IFERROR(VLOOKUP(B50,Roster!$A$2:$B$5000,2,FALSE),"-")</f>
        <v>-</v>
      </c>
      <c r="D50" s="66"/>
    </row>
    <row r="51" spans="2:4">
      <c r="B51" s="65"/>
      <c r="C51" s="66" t="str">
        <f>IFERROR(VLOOKUP(B51,Roster!$A$2:$B$5000,2,FALSE),"-")</f>
        <v>-</v>
      </c>
      <c r="D51" s="66"/>
    </row>
    <row r="52" spans="2:4">
      <c r="B52" s="65"/>
      <c r="C52" s="66" t="str">
        <f>IFERROR(VLOOKUP(B52,Roster!$A$2:$B$5000,2,FALSE),"-")</f>
        <v>-</v>
      </c>
      <c r="D52" s="66"/>
    </row>
    <row r="53" spans="2:4">
      <c r="B53" s="65"/>
      <c r="C53" s="66" t="str">
        <f>IFERROR(VLOOKUP(B53,Roster!$A$2:$B$5000,2,FALSE),"-")</f>
        <v>-</v>
      </c>
      <c r="D53" s="66"/>
    </row>
    <row r="54" spans="2:4">
      <c r="B54" s="65"/>
      <c r="C54" s="66" t="str">
        <f>IFERROR(VLOOKUP(B54,Roster!$A$2:$B$5000,2,FALSE),"-")</f>
        <v>-</v>
      </c>
      <c r="D54" s="66"/>
    </row>
    <row r="55" spans="2:4">
      <c r="B55" s="65"/>
      <c r="C55" s="66" t="str">
        <f>IFERROR(VLOOKUP(B55,Roster!$A$2:$B$5000,2,FALSE),"-")</f>
        <v>-</v>
      </c>
      <c r="D55" s="66"/>
    </row>
    <row r="56" spans="2:4">
      <c r="B56" s="65"/>
      <c r="C56" s="66" t="str">
        <f>IFERROR(VLOOKUP(B56,Roster!$A$2:$B$5000,2,FALSE),"-")</f>
        <v>-</v>
      </c>
      <c r="D56" s="66"/>
    </row>
    <row r="57" spans="2:4">
      <c r="B57" s="65"/>
      <c r="C57" s="66" t="str">
        <f>IFERROR(VLOOKUP(B57,Roster!$A$2:$B$5000,2,FALSE),"-")</f>
        <v>-</v>
      </c>
      <c r="D57" s="66"/>
    </row>
    <row r="58" spans="2:4">
      <c r="B58" s="65"/>
      <c r="C58" s="66" t="str">
        <f>IFERROR(VLOOKUP(B58,Roster!$A$2:$B$5000,2,FALSE),"-")</f>
        <v>-</v>
      </c>
      <c r="D58" s="66"/>
    </row>
    <row r="59" spans="2:4">
      <c r="B59" s="65"/>
      <c r="C59" s="66" t="str">
        <f>IFERROR(VLOOKUP(B59,Roster!$A$2:$B$5000,2,FALSE),"-")</f>
        <v>-</v>
      </c>
      <c r="D59" s="66"/>
    </row>
    <row r="60" spans="2:4">
      <c r="B60" s="65"/>
      <c r="C60" s="66" t="str">
        <f>IFERROR(VLOOKUP(B60,Roster!$A$2:$B$5000,2,FALSE),"-")</f>
        <v>-</v>
      </c>
      <c r="D60" s="66"/>
    </row>
    <row r="61" spans="2:4">
      <c r="B61" s="65"/>
      <c r="C61" s="66" t="str">
        <f>IFERROR(VLOOKUP(B61,Roster!$A$2:$B$5000,2,FALSE),"-")</f>
        <v>-</v>
      </c>
      <c r="D61" s="66"/>
    </row>
    <row r="62" spans="2:4">
      <c r="B62" s="65"/>
      <c r="C62" s="66" t="str">
        <f>IFERROR(VLOOKUP(B62,Roster!$A$2:$B$5000,2,FALSE),"-")</f>
        <v>-</v>
      </c>
      <c r="D62" s="66"/>
    </row>
    <row r="63" spans="2:4">
      <c r="B63" s="65"/>
      <c r="C63" s="66" t="str">
        <f>IFERROR(VLOOKUP(B63,Roster!$A$2:$B$5000,2,FALSE),"-")</f>
        <v>-</v>
      </c>
      <c r="D63" s="66"/>
    </row>
    <row r="64" spans="2:4">
      <c r="B64" s="65"/>
      <c r="C64" s="66" t="str">
        <f>IFERROR(VLOOKUP(B64,Roster!$A$2:$B$5000,2,FALSE),"-")</f>
        <v>-</v>
      </c>
      <c r="D64" s="66"/>
    </row>
    <row r="65" spans="2:4">
      <c r="B65" s="65"/>
      <c r="C65" s="66" t="str">
        <f>IFERROR(VLOOKUP(B65,Roster!$A$2:$B$5000,2,FALSE),"-")</f>
        <v>-</v>
      </c>
      <c r="D65" s="66"/>
    </row>
    <row r="66" spans="2:4">
      <c r="B66" s="65"/>
      <c r="C66" s="66" t="str">
        <f>IFERROR(VLOOKUP(B66,Roster!$A$2:$B$5000,2,FALSE),"-")</f>
        <v>-</v>
      </c>
      <c r="D66" s="66"/>
    </row>
    <row r="67" spans="2:4">
      <c r="B67" s="65"/>
      <c r="C67" s="66" t="str">
        <f>IFERROR(VLOOKUP(B67,Roster!$A$2:$B$5000,2,FALSE),"-")</f>
        <v>-</v>
      </c>
      <c r="D67" s="66"/>
    </row>
    <row r="68" spans="2:4">
      <c r="B68" s="65"/>
      <c r="C68" s="66" t="str">
        <f>IFERROR(VLOOKUP(B68,Roster!$A$2:$B$5000,2,FALSE),"-")</f>
        <v>-</v>
      </c>
      <c r="D68" s="66"/>
    </row>
    <row r="69" spans="2:4">
      <c r="B69" s="65"/>
      <c r="C69" s="66" t="str">
        <f>IFERROR(VLOOKUP(B69,Roster!$A$2:$B$5000,2,FALSE),"-")</f>
        <v>-</v>
      </c>
      <c r="D69" s="66"/>
    </row>
    <row r="70" spans="2:4">
      <c r="B70" s="65"/>
      <c r="C70" s="66" t="str">
        <f>IFERROR(VLOOKUP(B70,Roster!$A$2:$B$5000,2,FALSE),"-")</f>
        <v>-</v>
      </c>
      <c r="D70" s="66"/>
    </row>
    <row r="71" spans="2:4">
      <c r="B71" s="65"/>
      <c r="C71" s="66" t="str">
        <f>IFERROR(VLOOKUP(B71,Roster!$A$2:$B$5000,2,FALSE),"-")</f>
        <v>-</v>
      </c>
      <c r="D71" s="66"/>
    </row>
    <row r="72" spans="2:4">
      <c r="B72" s="65"/>
      <c r="C72" s="66" t="str">
        <f>IFERROR(VLOOKUP(B72,Roster!$A$2:$B$5000,2,FALSE),"-")</f>
        <v>-</v>
      </c>
      <c r="D72" s="66"/>
    </row>
    <row r="73" spans="2:4">
      <c r="B73" s="65"/>
      <c r="C73" s="66" t="str">
        <f>IFERROR(VLOOKUP(B73,Roster!$A$2:$B$5000,2,FALSE),"-")</f>
        <v>-</v>
      </c>
      <c r="D73" s="66"/>
    </row>
    <row r="74" spans="2:4">
      <c r="B74" s="65"/>
      <c r="C74" s="66" t="str">
        <f>IFERROR(VLOOKUP(B74,Roster!$A$2:$B$5000,2,FALSE),"-")</f>
        <v>-</v>
      </c>
      <c r="D74" s="66"/>
    </row>
    <row r="75" spans="2:4">
      <c r="B75" s="65"/>
      <c r="C75" s="66" t="str">
        <f>IFERROR(VLOOKUP(B75,Roster!$A$2:$B$5000,2,FALSE),"-")</f>
        <v>-</v>
      </c>
      <c r="D75" s="66"/>
    </row>
    <row r="76" spans="2:4">
      <c r="B76" s="65"/>
      <c r="C76" s="66" t="str">
        <f>IFERROR(VLOOKUP(B76,Roster!$A$2:$B$5000,2,FALSE),"-")</f>
        <v>-</v>
      </c>
      <c r="D76" s="66"/>
    </row>
    <row r="77" spans="2:4">
      <c r="B77" s="65"/>
      <c r="C77" s="66" t="str">
        <f>IFERROR(VLOOKUP(B77,Roster!$A$2:$B$5000,2,FALSE),"-")</f>
        <v>-</v>
      </c>
      <c r="D77" s="66"/>
    </row>
    <row r="78" spans="2:4">
      <c r="B78" s="65"/>
      <c r="C78" s="66" t="str">
        <f>IFERROR(VLOOKUP(B78,Roster!$A$2:$B$5000,2,FALSE),"-")</f>
        <v>-</v>
      </c>
      <c r="D78" s="66"/>
    </row>
    <row r="79" spans="2:4">
      <c r="B79" s="65"/>
      <c r="C79" s="66" t="str">
        <f>IFERROR(VLOOKUP(B79,Roster!$A$2:$B$5000,2,FALSE),"-")</f>
        <v>-</v>
      </c>
      <c r="D79" s="66"/>
    </row>
    <row r="80" spans="2:4">
      <c r="B80" s="65"/>
      <c r="C80" s="66" t="str">
        <f>IFERROR(VLOOKUP(B80,Roster!$A$2:$B$5000,2,FALSE),"-")</f>
        <v>-</v>
      </c>
      <c r="D80" s="66"/>
    </row>
    <row r="81" spans="2:4">
      <c r="B81" s="65"/>
      <c r="C81" s="66" t="str">
        <f>IFERROR(VLOOKUP(B81,Roster!$A$2:$B$5000,2,FALSE),"-")</f>
        <v>-</v>
      </c>
      <c r="D81" s="66"/>
    </row>
    <row r="82" spans="2:4">
      <c r="B82" s="65"/>
      <c r="C82" s="66" t="str">
        <f>IFERROR(VLOOKUP(B82,Roster!$A$2:$B$5000,2,FALSE),"-")</f>
        <v>-</v>
      </c>
      <c r="D82" s="66"/>
    </row>
    <row r="83" spans="2:4">
      <c r="B83" s="65"/>
      <c r="C83" s="66" t="str">
        <f>IFERROR(VLOOKUP(B83,Roster!$A$2:$B$5000,2,FALSE),"-")</f>
        <v>-</v>
      </c>
      <c r="D83" s="66"/>
    </row>
    <row r="84" spans="2:4">
      <c r="B84" s="65"/>
      <c r="C84" s="66" t="str">
        <f>IFERROR(VLOOKUP(B84,Roster!$A$2:$B$5000,2,FALSE),"-")</f>
        <v>-</v>
      </c>
      <c r="D84" s="66"/>
    </row>
    <row r="85" spans="2:4">
      <c r="B85" s="65"/>
      <c r="C85" s="66" t="str">
        <f>IFERROR(VLOOKUP(B85,Roster!$A$2:$B$5000,2,FALSE),"-")</f>
        <v>-</v>
      </c>
      <c r="D85" s="66"/>
    </row>
    <row r="86" spans="2:4">
      <c r="B86" s="65"/>
      <c r="C86" s="66" t="str">
        <f>IFERROR(VLOOKUP(B86,Roster!$A$2:$B$5000,2,FALSE),"-")</f>
        <v>-</v>
      </c>
      <c r="D86" s="66"/>
    </row>
    <row r="87" spans="2:4">
      <c r="B87" s="65"/>
      <c r="C87" s="66" t="str">
        <f>IFERROR(VLOOKUP(B87,Roster!$A$2:$B$5000,2,FALSE),"-")</f>
        <v>-</v>
      </c>
      <c r="D87" s="66"/>
    </row>
    <row r="88" spans="2:4">
      <c r="B88" s="65"/>
      <c r="C88" s="66" t="str">
        <f>IFERROR(VLOOKUP(B88,Roster!$A$2:$B$5000,2,FALSE),"-")</f>
        <v>-</v>
      </c>
      <c r="D88" s="66"/>
    </row>
    <row r="89" spans="2:4">
      <c r="B89" s="65"/>
      <c r="C89" s="66" t="str">
        <f>IFERROR(VLOOKUP(B89,Roster!$A$2:$B$5000,2,FALSE),"-")</f>
        <v>-</v>
      </c>
      <c r="D89" s="66"/>
    </row>
    <row r="90" spans="2:4">
      <c r="B90" s="65"/>
      <c r="C90" s="66" t="str">
        <f>IFERROR(VLOOKUP(B90,Roster!$A$2:$B$5000,2,FALSE),"-")</f>
        <v>-</v>
      </c>
      <c r="D90" s="66"/>
    </row>
    <row r="91" spans="2:4">
      <c r="B91" s="65"/>
      <c r="C91" s="66" t="str">
        <f>IFERROR(VLOOKUP(B91,Roster!$A$2:$B$5000,2,FALSE),"-")</f>
        <v>-</v>
      </c>
      <c r="D91" s="66"/>
    </row>
    <row r="92" spans="2:4">
      <c r="B92" s="65"/>
      <c r="C92" s="66" t="str">
        <f>IFERROR(VLOOKUP(B92,Roster!$A$2:$B$5000,2,FALSE),"-")</f>
        <v>-</v>
      </c>
      <c r="D92" s="66"/>
    </row>
    <row r="93" spans="2:4">
      <c r="B93" s="65"/>
      <c r="C93" s="66" t="str">
        <f>IFERROR(VLOOKUP(B93,Roster!$A$2:$B$5000,2,FALSE),"-")</f>
        <v>-</v>
      </c>
      <c r="D93" s="66"/>
    </row>
    <row r="94" spans="2:4">
      <c r="B94" s="65"/>
      <c r="C94" s="66" t="str">
        <f>IFERROR(VLOOKUP(B94,Roster!$A$2:$B$5000,2,FALSE),"-")</f>
        <v>-</v>
      </c>
      <c r="D94" s="66"/>
    </row>
    <row r="95" spans="2:4">
      <c r="B95" s="65"/>
      <c r="C95" s="66" t="str">
        <f>IFERROR(VLOOKUP(B95,Roster!$A$2:$B$5000,2,FALSE),"-")</f>
        <v>-</v>
      </c>
      <c r="D95" s="66"/>
    </row>
    <row r="96" spans="2:4">
      <c r="B96" s="65"/>
      <c r="C96" s="66" t="str">
        <f>IFERROR(VLOOKUP(B96,Roster!$A$2:$B$5000,2,FALSE),"-")</f>
        <v>-</v>
      </c>
      <c r="D96" s="66"/>
    </row>
    <row r="97" spans="2:4">
      <c r="B97" s="65"/>
      <c r="C97" s="66" t="str">
        <f>IFERROR(VLOOKUP(B97,Roster!$A$2:$B$5000,2,FALSE),"-")</f>
        <v>-</v>
      </c>
      <c r="D97" s="66"/>
    </row>
    <row r="98" spans="2:4">
      <c r="B98" s="65"/>
      <c r="C98" s="66" t="str">
        <f>IFERROR(VLOOKUP(B98,Roster!$A$2:$B$5000,2,FALSE),"-")</f>
        <v>-</v>
      </c>
      <c r="D98" s="66"/>
    </row>
    <row r="99" spans="2:4">
      <c r="B99" s="65"/>
      <c r="C99" s="66" t="str">
        <f>IFERROR(VLOOKUP(B99,Roster!$A$2:$B$5000,2,FALSE),"-")</f>
        <v>-</v>
      </c>
      <c r="D99" s="66"/>
    </row>
    <row r="100" spans="2:4">
      <c r="B100" s="65"/>
      <c r="C100" s="66" t="str">
        <f>IFERROR(VLOOKUP(B100,Roster!$A$2:$B$5000,2,FALSE),"-")</f>
        <v>-</v>
      </c>
      <c r="D100" s="66"/>
    </row>
    <row r="101" spans="2:4">
      <c r="B101" s="65"/>
      <c r="C101" s="66" t="str">
        <f>IFERROR(VLOOKUP(B101,Roster!$A$2:$B$5000,2,FALSE),"-")</f>
        <v>-</v>
      </c>
      <c r="D101" s="66"/>
    </row>
    <row r="102" spans="2:4">
      <c r="B102" s="65"/>
      <c r="C102" s="66" t="str">
        <f>IFERROR(VLOOKUP(B102,Roster!$A$2:$B$5000,2,FALSE),"-")</f>
        <v>-</v>
      </c>
      <c r="D102" s="66"/>
    </row>
    <row r="103" spans="2:4">
      <c r="B103" s="65"/>
      <c r="C103" s="66" t="str">
        <f>IFERROR(VLOOKUP(B103,Roster!$A$2:$B$5000,2,FALSE),"-")</f>
        <v>-</v>
      </c>
      <c r="D103" s="66"/>
    </row>
    <row r="104" spans="2:4">
      <c r="B104" s="65"/>
      <c r="C104" s="66" t="str">
        <f>IFERROR(VLOOKUP(B104,Roster!$A$2:$B$5000,2,FALSE),"-")</f>
        <v>-</v>
      </c>
      <c r="D104" s="66"/>
    </row>
    <row r="105" spans="2:4">
      <c r="B105" s="65"/>
      <c r="C105" s="66" t="str">
        <f>IFERROR(VLOOKUP(B105,Roster!$A$2:$B$5000,2,FALSE),"-")</f>
        <v>-</v>
      </c>
      <c r="D105" s="66"/>
    </row>
    <row r="106" spans="2:4">
      <c r="B106" s="65"/>
      <c r="C106" s="66" t="str">
        <f>IFERROR(VLOOKUP(B106,Roster!$A$2:$B$5000,2,FALSE),"-")</f>
        <v>-</v>
      </c>
      <c r="D106" s="66"/>
    </row>
    <row r="107" spans="2:4">
      <c r="B107" s="65"/>
      <c r="C107" s="66" t="str">
        <f>IFERROR(VLOOKUP(B107,Roster!$A$2:$B$5000,2,FALSE),"-")</f>
        <v>-</v>
      </c>
      <c r="D107" s="66"/>
    </row>
    <row r="108" spans="2:4">
      <c r="B108" s="65"/>
      <c r="C108" s="66" t="str">
        <f>IFERROR(VLOOKUP(B108,Roster!$A$2:$B$5000,2,FALSE),"-")</f>
        <v>-</v>
      </c>
      <c r="D108" s="66"/>
    </row>
    <row r="109" spans="2:4">
      <c r="B109" s="65"/>
      <c r="C109" s="66" t="str">
        <f>IFERROR(VLOOKUP(B109,Roster!$A$2:$B$5000,2,FALSE),"-")</f>
        <v>-</v>
      </c>
      <c r="D109" s="66"/>
    </row>
    <row r="110" spans="2:4">
      <c r="B110" s="65"/>
      <c r="C110" s="66" t="str">
        <f>IFERROR(VLOOKUP(B110,Roster!$A$2:$B$5000,2,FALSE),"-")</f>
        <v>-</v>
      </c>
      <c r="D110" s="66"/>
    </row>
    <row r="111" spans="2:4">
      <c r="B111" s="65"/>
      <c r="C111" s="66" t="str">
        <f>IFERROR(VLOOKUP(B111,Roster!$A$2:$B$5000,2,FALSE),"-")</f>
        <v>-</v>
      </c>
      <c r="D111" s="66"/>
    </row>
    <row r="112" spans="2:4">
      <c r="B112" s="65"/>
      <c r="C112" s="66" t="str">
        <f>IFERROR(VLOOKUP(B112,Roster!$A$2:$B$5000,2,FALSE),"-")</f>
        <v>-</v>
      </c>
      <c r="D112" s="66"/>
    </row>
    <row r="113" spans="2:4">
      <c r="B113" s="65"/>
      <c r="C113" s="66" t="str">
        <f>IFERROR(VLOOKUP(B113,Roster!$A$2:$B$5000,2,FALSE),"-")</f>
        <v>-</v>
      </c>
      <c r="D113" s="66"/>
    </row>
    <row r="114" spans="2:4">
      <c r="B114" s="65"/>
      <c r="C114" s="66" t="str">
        <f>IFERROR(VLOOKUP(B114,Roster!$A$2:$B$5000,2,FALSE),"-")</f>
        <v>-</v>
      </c>
      <c r="D114" s="66"/>
    </row>
    <row r="115" spans="2:4">
      <c r="B115" s="65"/>
      <c r="C115" s="66" t="str">
        <f>IFERROR(VLOOKUP(B115,Roster!$A$2:$B$5000,2,FALSE),"-")</f>
        <v>-</v>
      </c>
      <c r="D115" s="66"/>
    </row>
    <row r="116" spans="2:4">
      <c r="B116" s="65"/>
      <c r="C116" s="66" t="str">
        <f>IFERROR(VLOOKUP(B116,Roster!$A$2:$B$5000,2,FALSE),"-")</f>
        <v>-</v>
      </c>
      <c r="D116" s="66"/>
    </row>
    <row r="117" spans="2:4">
      <c r="B117" s="65"/>
      <c r="C117" s="66" t="str">
        <f>IFERROR(VLOOKUP(B117,Roster!$A$2:$B$5000,2,FALSE),"-")</f>
        <v>-</v>
      </c>
      <c r="D117" s="66"/>
    </row>
    <row r="118" spans="2:4">
      <c r="B118" s="65"/>
      <c r="C118" s="66" t="str">
        <f>IFERROR(VLOOKUP(B118,Roster!$A$2:$B$5000,2,FALSE),"-")</f>
        <v>-</v>
      </c>
      <c r="D118" s="66"/>
    </row>
    <row r="119" spans="2:4">
      <c r="B119" s="65"/>
      <c r="C119" s="66" t="str">
        <f>IFERROR(VLOOKUP(B119,Roster!$A$2:$B$5000,2,FALSE),"-")</f>
        <v>-</v>
      </c>
      <c r="D119" s="66"/>
    </row>
    <row r="120" spans="2:4">
      <c r="B120" s="65"/>
      <c r="C120" s="66" t="str">
        <f>IFERROR(VLOOKUP(B120,Roster!$A$2:$B$5000,2,FALSE),"-")</f>
        <v>-</v>
      </c>
      <c r="D120" s="66"/>
    </row>
    <row r="121" spans="2:4">
      <c r="B121" s="65"/>
      <c r="C121" s="66" t="str">
        <f>IFERROR(VLOOKUP(B121,Roster!$A$2:$B$5000,2,FALSE),"-")</f>
        <v>-</v>
      </c>
      <c r="D121" s="66"/>
    </row>
    <row r="122" spans="2:4">
      <c r="B122" s="65"/>
      <c r="C122" s="66" t="str">
        <f>IFERROR(VLOOKUP(B122,Roster!$A$2:$B$5000,2,FALSE),"-")</f>
        <v>-</v>
      </c>
      <c r="D122" s="66"/>
    </row>
    <row r="123" spans="2:4">
      <c r="B123" s="65"/>
      <c r="C123" s="66" t="str">
        <f>IFERROR(VLOOKUP(B123,Roster!$A$2:$B$5000,2,FALSE),"-")</f>
        <v>-</v>
      </c>
      <c r="D123" s="66"/>
    </row>
    <row r="124" spans="2:4">
      <c r="B124" s="65"/>
      <c r="C124" s="66" t="str">
        <f>IFERROR(VLOOKUP(B124,Roster!$A$2:$B$5000,2,FALSE),"-")</f>
        <v>-</v>
      </c>
      <c r="D124" s="66"/>
    </row>
    <row r="125" spans="2:4">
      <c r="B125" s="65"/>
      <c r="C125" s="66" t="str">
        <f>IFERROR(VLOOKUP(B125,Roster!$A$2:$B$5000,2,FALSE),"-")</f>
        <v>-</v>
      </c>
      <c r="D125" s="66"/>
    </row>
    <row r="126" spans="2:4">
      <c r="B126" s="65"/>
      <c r="C126" s="66" t="str">
        <f>IFERROR(VLOOKUP(B126,Roster!$A$2:$B$5000,2,FALSE),"-")</f>
        <v>-</v>
      </c>
      <c r="D126" s="66"/>
    </row>
    <row r="127" spans="2:4">
      <c r="B127" s="65"/>
      <c r="C127" s="66" t="str">
        <f>IFERROR(VLOOKUP(B127,Roster!$A$2:$B$5000,2,FALSE),"-")</f>
        <v>-</v>
      </c>
      <c r="D127" s="66"/>
    </row>
    <row r="128" spans="2:4">
      <c r="B128" s="65"/>
      <c r="C128" s="66" t="str">
        <f>IFERROR(VLOOKUP(B128,Roster!$A$2:$B$5000,2,FALSE),"-")</f>
        <v>-</v>
      </c>
      <c r="D128" s="66"/>
    </row>
    <row r="129" spans="2:4">
      <c r="B129" s="65"/>
      <c r="C129" s="66" t="str">
        <f>IFERROR(VLOOKUP(B129,Roster!$A$2:$B$5000,2,FALSE),"-")</f>
        <v>-</v>
      </c>
      <c r="D129" s="66"/>
    </row>
    <row r="130" spans="2:4">
      <c r="B130" s="65"/>
      <c r="C130" s="66" t="str">
        <f>IFERROR(VLOOKUP(B130,Roster!$A$2:$B$5000,2,FALSE),"-")</f>
        <v>-</v>
      </c>
      <c r="D130" s="66"/>
    </row>
    <row r="131" spans="2:4">
      <c r="B131" s="65"/>
      <c r="C131" s="66" t="str">
        <f>IFERROR(VLOOKUP(B131,Roster!$A$2:$B$5000,2,FALSE),"-")</f>
        <v>-</v>
      </c>
      <c r="D131" s="66"/>
    </row>
    <row r="132" spans="2:4">
      <c r="B132" s="65"/>
      <c r="C132" s="66" t="str">
        <f>IFERROR(VLOOKUP(B132,Roster!$A$2:$B$5000,2,FALSE),"-")</f>
        <v>-</v>
      </c>
      <c r="D132" s="66"/>
    </row>
    <row r="133" spans="2:4">
      <c r="B133" s="65"/>
      <c r="C133" s="66" t="str">
        <f>IFERROR(VLOOKUP(B133,Roster!$A$2:$B$5000,2,FALSE),"-")</f>
        <v>-</v>
      </c>
      <c r="D133" s="66"/>
    </row>
    <row r="134" spans="2:4">
      <c r="B134" s="65"/>
      <c r="C134" s="66" t="str">
        <f>IFERROR(VLOOKUP(B134,Roster!$A$2:$B$5000,2,FALSE),"-")</f>
        <v>-</v>
      </c>
      <c r="D134" s="66"/>
    </row>
    <row r="135" spans="2:4">
      <c r="B135" s="65"/>
      <c r="C135" s="66" t="str">
        <f>IFERROR(VLOOKUP(B135,Roster!$A$2:$B$5000,2,FALSE),"-")</f>
        <v>-</v>
      </c>
      <c r="D135" s="66"/>
    </row>
    <row r="136" spans="2:4">
      <c r="B136" s="65"/>
      <c r="C136" s="66" t="str">
        <f>IFERROR(VLOOKUP(B136,Roster!$A$2:$B$5000,2,FALSE),"-")</f>
        <v>-</v>
      </c>
      <c r="D136" s="66"/>
    </row>
    <row r="137" spans="2:4">
      <c r="B137" s="65"/>
      <c r="C137" s="66" t="str">
        <f>IFERROR(VLOOKUP(B137,Roster!$A$2:$B$5000,2,FALSE),"-")</f>
        <v>-</v>
      </c>
      <c r="D137" s="66"/>
    </row>
    <row r="138" spans="2:4">
      <c r="B138" s="65"/>
      <c r="C138" s="66" t="str">
        <f>IFERROR(VLOOKUP(B138,Roster!$A$2:$B$5000,2,FALSE),"-")</f>
        <v>-</v>
      </c>
      <c r="D138" s="66"/>
    </row>
    <row r="139" spans="2:4">
      <c r="B139" s="65"/>
      <c r="C139" s="66" t="str">
        <f>IFERROR(VLOOKUP(B139,Roster!$A$2:$B$5000,2,FALSE),"-")</f>
        <v>-</v>
      </c>
      <c r="D139" s="66"/>
    </row>
    <row r="140" spans="2:4">
      <c r="B140" s="65"/>
      <c r="C140" s="66" t="str">
        <f>IFERROR(VLOOKUP(B140,Roster!$A$2:$B$5000,2,FALSE),"-")</f>
        <v>-</v>
      </c>
      <c r="D140" s="66"/>
    </row>
    <row r="141" spans="2:4">
      <c r="B141" s="65"/>
      <c r="C141" s="66" t="str">
        <f>IFERROR(VLOOKUP(B141,Roster!$A$2:$B$5000,2,FALSE),"-")</f>
        <v>-</v>
      </c>
      <c r="D141" s="66"/>
    </row>
    <row r="142" spans="2:4">
      <c r="B142" s="65"/>
      <c r="C142" s="66" t="str">
        <f>IFERROR(VLOOKUP(B142,Roster!$A$2:$B$5000,2,FALSE),"-")</f>
        <v>-</v>
      </c>
      <c r="D142" s="66"/>
    </row>
    <row r="143" spans="2:4">
      <c r="B143" s="65"/>
      <c r="C143" s="66" t="str">
        <f>IFERROR(VLOOKUP(B143,Roster!$A$2:$B$5000,2,FALSE),"-")</f>
        <v>-</v>
      </c>
      <c r="D143" s="66"/>
    </row>
    <row r="144" spans="2:4">
      <c r="B144" s="65"/>
      <c r="C144" s="66" t="str">
        <f>IFERROR(VLOOKUP(B144,Roster!$A$2:$B$5000,2,FALSE),"-")</f>
        <v>-</v>
      </c>
      <c r="D144" s="66"/>
    </row>
    <row r="145" spans="2:4">
      <c r="B145" s="65"/>
      <c r="C145" s="66" t="str">
        <f>IFERROR(VLOOKUP(B145,Roster!$A$2:$B$5000,2,FALSE),"-")</f>
        <v>-</v>
      </c>
      <c r="D145" s="66"/>
    </row>
    <row r="146" spans="2:4">
      <c r="B146" s="65"/>
      <c r="C146" s="66" t="str">
        <f>IFERROR(VLOOKUP(B146,Roster!$A$2:$B$5000,2,FALSE),"-")</f>
        <v>-</v>
      </c>
      <c r="D146" s="66"/>
    </row>
    <row r="147" spans="2:4">
      <c r="B147" s="65"/>
      <c r="C147" s="66" t="str">
        <f>IFERROR(VLOOKUP(B147,Roster!$A$2:$B$5000,2,FALSE),"-")</f>
        <v>-</v>
      </c>
      <c r="D147" s="66"/>
    </row>
    <row r="148" spans="2:4">
      <c r="B148" s="65"/>
      <c r="C148" s="66" t="str">
        <f>IFERROR(VLOOKUP(B148,Roster!$A$2:$B$5000,2,FALSE),"-")</f>
        <v>-</v>
      </c>
      <c r="D148" s="66"/>
    </row>
    <row r="149" spans="2:4">
      <c r="B149" s="65"/>
      <c r="C149" s="66" t="str">
        <f>IFERROR(VLOOKUP(B149,Roster!$A$2:$B$5000,2,FALSE),"-")</f>
        <v>-</v>
      </c>
      <c r="D149" s="66"/>
    </row>
    <row r="150" spans="2:4">
      <c r="B150" s="65"/>
      <c r="C150" s="66" t="str">
        <f>IFERROR(VLOOKUP(B150,Roster!$A$2:$B$5000,2,FALSE),"-")</f>
        <v>-</v>
      </c>
      <c r="D150" s="66"/>
    </row>
    <row r="151" spans="2:4">
      <c r="B151" s="65"/>
      <c r="C151" s="66" t="str">
        <f>IFERROR(VLOOKUP(B151,Roster!$A$2:$B$5000,2,FALSE),"-")</f>
        <v>-</v>
      </c>
      <c r="D151" s="66"/>
    </row>
    <row r="152" spans="2:4">
      <c r="B152" s="65"/>
      <c r="C152" s="66" t="str">
        <f>IFERROR(VLOOKUP(B152,Roster!$A$2:$B$5000,2,FALSE),"-")</f>
        <v>-</v>
      </c>
      <c r="D152" s="66"/>
    </row>
    <row r="153" spans="2:4">
      <c r="B153" s="65"/>
      <c r="C153" s="66" t="str">
        <f>IFERROR(VLOOKUP(B153,Roster!$A$2:$B$5000,2,FALSE),"-")</f>
        <v>-</v>
      </c>
      <c r="D153" s="66"/>
    </row>
    <row r="154" spans="2:4">
      <c r="B154" s="65"/>
      <c r="C154" s="66" t="str">
        <f>IFERROR(VLOOKUP(B154,Roster!$A$2:$B$5000,2,FALSE),"-")</f>
        <v>-</v>
      </c>
      <c r="D154" s="66"/>
    </row>
    <row r="155" spans="2:4">
      <c r="B155" s="65"/>
      <c r="C155" s="66" t="str">
        <f>IFERROR(VLOOKUP(B155,Roster!$A$2:$B$5000,2,FALSE),"-")</f>
        <v>-</v>
      </c>
      <c r="D155" s="66"/>
    </row>
    <row r="156" spans="2:4">
      <c r="B156" s="65"/>
      <c r="C156" s="66" t="str">
        <f>IFERROR(VLOOKUP(B156,Roster!$A$2:$B$5000,2,FALSE),"-")</f>
        <v>-</v>
      </c>
      <c r="D156" s="66"/>
    </row>
    <row r="157" spans="2:4">
      <c r="B157" s="65"/>
      <c r="C157" s="66" t="str">
        <f>IFERROR(VLOOKUP(B157,Roster!$A$2:$B$5000,2,FALSE),"-")</f>
        <v>-</v>
      </c>
      <c r="D157" s="66"/>
    </row>
    <row r="158" spans="2:4">
      <c r="B158" s="65"/>
      <c r="C158" s="66" t="str">
        <f>IFERROR(VLOOKUP(B158,Roster!$A$2:$B$5000,2,FALSE),"-")</f>
        <v>-</v>
      </c>
      <c r="D158" s="66"/>
    </row>
    <row r="159" spans="2:4">
      <c r="B159" s="65"/>
      <c r="C159" s="66" t="str">
        <f>IFERROR(VLOOKUP(B159,Roster!$A$2:$B$5000,2,FALSE),"-")</f>
        <v>-</v>
      </c>
      <c r="D159" s="66"/>
    </row>
    <row r="160" spans="2:4">
      <c r="B160" s="65"/>
      <c r="C160" s="66" t="str">
        <f>IFERROR(VLOOKUP(B160,Roster!$A$2:$B$5000,2,FALSE),"-")</f>
        <v>-</v>
      </c>
      <c r="D160" s="66"/>
    </row>
    <row r="161" spans="2:4">
      <c r="B161" s="65"/>
      <c r="C161" s="66" t="str">
        <f>IFERROR(VLOOKUP(B161,Roster!$A$2:$B$5000,2,FALSE),"-")</f>
        <v>-</v>
      </c>
      <c r="D161" s="66"/>
    </row>
    <row r="162" spans="2:4">
      <c r="B162" s="65"/>
      <c r="C162" s="66" t="str">
        <f>IFERROR(VLOOKUP(B162,Roster!$A$2:$B$5000,2,FALSE),"-")</f>
        <v>-</v>
      </c>
      <c r="D162" s="66"/>
    </row>
    <row r="163" spans="2:4">
      <c r="B163" s="65"/>
      <c r="C163" s="66" t="str">
        <f>IFERROR(VLOOKUP(B163,Roster!$A$2:$B$5000,2,FALSE),"-")</f>
        <v>-</v>
      </c>
      <c r="D163" s="66"/>
    </row>
    <row r="164" spans="2:4">
      <c r="B164" s="65"/>
      <c r="C164" s="66" t="str">
        <f>IFERROR(VLOOKUP(B164,Roster!$A$2:$B$5000,2,FALSE),"-")</f>
        <v>-</v>
      </c>
      <c r="D164" s="66"/>
    </row>
    <row r="165" spans="2:4">
      <c r="B165" s="65"/>
      <c r="C165" s="66" t="str">
        <f>IFERROR(VLOOKUP(B165,Roster!$A$2:$B$5000,2,FALSE),"-")</f>
        <v>-</v>
      </c>
      <c r="D165" s="66"/>
    </row>
    <row r="166" spans="2:4">
      <c r="B166" s="65"/>
      <c r="C166" s="66" t="str">
        <f>IFERROR(VLOOKUP(B166,Roster!$A$2:$B$5000,2,FALSE),"-")</f>
        <v>-</v>
      </c>
      <c r="D166" s="66"/>
    </row>
    <row r="167" spans="2:4">
      <c r="B167" s="65"/>
      <c r="C167" s="66" t="str">
        <f>IFERROR(VLOOKUP(B167,Roster!$A$2:$B$5000,2,FALSE),"-")</f>
        <v>-</v>
      </c>
      <c r="D167" s="66"/>
    </row>
    <row r="168" spans="2:4">
      <c r="B168" s="65"/>
      <c r="C168" s="66" t="str">
        <f>IFERROR(VLOOKUP(B168,Roster!$A$2:$B$5000,2,FALSE),"-")</f>
        <v>-</v>
      </c>
      <c r="D168" s="66"/>
    </row>
    <row r="169" spans="2:4">
      <c r="B169" s="65"/>
      <c r="C169" s="66" t="str">
        <f>IFERROR(VLOOKUP(B169,Roster!$A$2:$B$5000,2,FALSE),"-")</f>
        <v>-</v>
      </c>
      <c r="D169" s="66"/>
    </row>
    <row r="170" spans="2:4">
      <c r="B170" s="65"/>
      <c r="C170" s="66" t="str">
        <f>IFERROR(VLOOKUP(B170,Roster!$A$2:$B$5000,2,FALSE),"-")</f>
        <v>-</v>
      </c>
      <c r="D170" s="66"/>
    </row>
    <row r="171" spans="2:4">
      <c r="B171" s="65"/>
      <c r="C171" s="66" t="str">
        <f>IFERROR(VLOOKUP(B171,Roster!$A$2:$B$5000,2,FALSE),"-")</f>
        <v>-</v>
      </c>
      <c r="D171" s="66"/>
    </row>
    <row r="172" spans="2:4">
      <c r="B172" s="65"/>
      <c r="C172" s="66" t="str">
        <f>IFERROR(VLOOKUP(B172,Roster!$A$2:$B$5000,2,FALSE),"-")</f>
        <v>-</v>
      </c>
      <c r="D172" s="66"/>
    </row>
    <row r="173" spans="2:4">
      <c r="B173" s="65"/>
      <c r="C173" s="66" t="str">
        <f>IFERROR(VLOOKUP(B173,Roster!$A$2:$B$5000,2,FALSE),"-")</f>
        <v>-</v>
      </c>
      <c r="D173" s="66"/>
    </row>
    <row r="174" spans="2:4">
      <c r="B174" s="65"/>
      <c r="C174" s="66" t="str">
        <f>IFERROR(VLOOKUP(B174,Roster!$A$2:$B$5000,2,FALSE),"-")</f>
        <v>-</v>
      </c>
      <c r="D174" s="66"/>
    </row>
    <row r="175" spans="2:4">
      <c r="B175" s="65"/>
      <c r="C175" s="66" t="str">
        <f>IFERROR(VLOOKUP(B175,Roster!$A$2:$B$5000,2,FALSE),"-")</f>
        <v>-</v>
      </c>
      <c r="D175" s="66"/>
    </row>
    <row r="176" spans="2:4">
      <c r="B176" s="65"/>
      <c r="C176" s="66" t="str">
        <f>IFERROR(VLOOKUP(B176,Roster!$A$2:$B$5000,2,FALSE),"-")</f>
        <v>-</v>
      </c>
      <c r="D176" s="66"/>
    </row>
    <row r="177" spans="2:4">
      <c r="B177" s="65"/>
      <c r="C177" s="66" t="str">
        <f>IFERROR(VLOOKUP(B177,Roster!$A$2:$B$5000,2,FALSE),"-")</f>
        <v>-</v>
      </c>
      <c r="D177" s="66"/>
    </row>
    <row r="178" spans="2:4">
      <c r="B178" s="65"/>
      <c r="C178" s="66" t="str">
        <f>IFERROR(VLOOKUP(B178,Roster!$A$2:$B$5000,2,FALSE),"-")</f>
        <v>-</v>
      </c>
      <c r="D178" s="66"/>
    </row>
    <row r="179" spans="2:4">
      <c r="B179" s="65"/>
      <c r="C179" s="66" t="str">
        <f>IFERROR(VLOOKUP(B179,Roster!$A$2:$B$5000,2,FALSE),"-")</f>
        <v>-</v>
      </c>
      <c r="D179" s="66"/>
    </row>
    <row r="180" spans="2:4">
      <c r="B180" s="65"/>
      <c r="C180" s="66" t="str">
        <f>IFERROR(VLOOKUP(B180,Roster!$A$2:$B$5000,2,FALSE),"-")</f>
        <v>-</v>
      </c>
      <c r="D180" s="66"/>
    </row>
    <row r="181" spans="2:4">
      <c r="B181" s="65"/>
      <c r="C181" s="66" t="str">
        <f>IFERROR(VLOOKUP(B181,Roster!$A$2:$B$5000,2,FALSE),"-")</f>
        <v>-</v>
      </c>
      <c r="D181" s="66"/>
    </row>
    <row r="182" spans="2:4">
      <c r="B182" s="65"/>
      <c r="C182" s="66" t="str">
        <f>IFERROR(VLOOKUP(B182,Roster!$A$2:$B$5000,2,FALSE),"-")</f>
        <v>-</v>
      </c>
      <c r="D182" s="66"/>
    </row>
    <row r="183" spans="2:4">
      <c r="B183" s="65"/>
      <c r="C183" s="66" t="str">
        <f>IFERROR(VLOOKUP(B183,Roster!$A$2:$B$5000,2,FALSE),"-")</f>
        <v>-</v>
      </c>
      <c r="D183" s="66"/>
    </row>
    <row r="184" spans="2:4">
      <c r="B184" s="65"/>
      <c r="C184" s="66" t="str">
        <f>IFERROR(VLOOKUP(B184,Roster!$A$2:$B$5000,2,FALSE),"-")</f>
        <v>-</v>
      </c>
      <c r="D184" s="66"/>
    </row>
    <row r="185" spans="2:4">
      <c r="B185" s="65"/>
      <c r="C185" s="66" t="str">
        <f>IFERROR(VLOOKUP(B185,Roster!$A$2:$B$5000,2,FALSE),"-")</f>
        <v>-</v>
      </c>
      <c r="D185" s="66"/>
    </row>
    <row r="186" spans="2:4">
      <c r="B186" s="65"/>
      <c r="C186" s="66" t="str">
        <f>IFERROR(VLOOKUP(B186,Roster!$A$2:$B$5000,2,FALSE),"-")</f>
        <v>-</v>
      </c>
      <c r="D186" s="66"/>
    </row>
    <row r="187" spans="2:4">
      <c r="B187" s="65"/>
      <c r="C187" s="66" t="str">
        <f>IFERROR(VLOOKUP(B187,Roster!$A$2:$B$5000,2,FALSE),"-")</f>
        <v>-</v>
      </c>
      <c r="D187" s="66"/>
    </row>
    <row r="188" spans="2:4">
      <c r="B188" s="65"/>
      <c r="C188" s="66" t="str">
        <f>IFERROR(VLOOKUP(B188,Roster!$A$2:$B$5000,2,FALSE),"-")</f>
        <v>-</v>
      </c>
      <c r="D188" s="66"/>
    </row>
    <row r="189" spans="2:4">
      <c r="B189" s="65"/>
      <c r="C189" s="66" t="str">
        <f>IFERROR(VLOOKUP(B189,Roster!$A$2:$B$5000,2,FALSE),"-")</f>
        <v>-</v>
      </c>
      <c r="D189" s="66"/>
    </row>
    <row r="190" spans="2:4">
      <c r="B190" s="65"/>
      <c r="C190" s="66" t="str">
        <f>IFERROR(VLOOKUP(B190,Roster!$A$2:$B$5000,2,FALSE),"-")</f>
        <v>-</v>
      </c>
      <c r="D190" s="66"/>
    </row>
    <row r="191" spans="2:4">
      <c r="B191" s="65"/>
      <c r="C191" s="66" t="str">
        <f>IFERROR(VLOOKUP(B191,Roster!$A$2:$B$5000,2,FALSE),"-")</f>
        <v>-</v>
      </c>
      <c r="D191" s="66"/>
    </row>
    <row r="192" spans="2:4">
      <c r="B192" s="65"/>
      <c r="C192" s="66" t="str">
        <f>IFERROR(VLOOKUP(B192,Roster!$A$2:$B$5000,2,FALSE),"-")</f>
        <v>-</v>
      </c>
      <c r="D192" s="66"/>
    </row>
    <row r="193" spans="2:4">
      <c r="B193" s="65"/>
      <c r="C193" s="66" t="str">
        <f>IFERROR(VLOOKUP(B193,Roster!$A$2:$B$5000,2,FALSE),"-")</f>
        <v>-</v>
      </c>
      <c r="D193" s="66"/>
    </row>
    <row r="194" spans="2:4">
      <c r="B194" s="65"/>
      <c r="C194" s="66" t="str">
        <f>IFERROR(VLOOKUP(B194,Roster!$A$2:$B$5000,2,FALSE),"-")</f>
        <v>-</v>
      </c>
      <c r="D194" s="66"/>
    </row>
    <row r="195" spans="2:4">
      <c r="B195" s="65"/>
      <c r="C195" s="66" t="str">
        <f>IFERROR(VLOOKUP(B195,Roster!$A$2:$B$5000,2,FALSE),"-")</f>
        <v>-</v>
      </c>
      <c r="D195" s="66"/>
    </row>
    <row r="196" spans="2:4">
      <c r="B196" s="65"/>
      <c r="C196" s="66" t="str">
        <f>IFERROR(VLOOKUP(B196,Roster!$A$2:$B$5000,2,FALSE),"-")</f>
        <v>-</v>
      </c>
      <c r="D196" s="66"/>
    </row>
    <row r="197" spans="2:4">
      <c r="B197" s="65"/>
      <c r="C197" s="66" t="str">
        <f>IFERROR(VLOOKUP(B197,Roster!$A$2:$B$5000,2,FALSE),"-")</f>
        <v>-</v>
      </c>
      <c r="D197" s="66"/>
    </row>
    <row r="198" spans="2:4">
      <c r="B198" s="65"/>
      <c r="C198" s="66" t="str">
        <f>IFERROR(VLOOKUP(B198,Roster!$A$2:$B$5000,2,FALSE),"-")</f>
        <v>-</v>
      </c>
      <c r="D198" s="66"/>
    </row>
    <row r="199" spans="2:4">
      <c r="B199" s="65"/>
      <c r="C199" s="66" t="str">
        <f>IFERROR(VLOOKUP(B199,Roster!$A$2:$B$5000,2,FALSE),"-")</f>
        <v>-</v>
      </c>
      <c r="D199" s="66"/>
    </row>
    <row r="200" spans="2:4">
      <c r="B200" s="65"/>
      <c r="C200" s="66" t="str">
        <f>IFERROR(VLOOKUP(B200,Roster!$A$2:$B$5000,2,FALSE),"-")</f>
        <v>-</v>
      </c>
      <c r="D200" s="66"/>
    </row>
    <row r="201" spans="2:4">
      <c r="B201" s="65"/>
      <c r="C201" s="66" t="str">
        <f>IFERROR(VLOOKUP(B201,Roster!$A$2:$B$5000,2,FALSE),"-")</f>
        <v>-</v>
      </c>
      <c r="D201" s="66"/>
    </row>
    <row r="202" spans="2:4">
      <c r="B202" s="65"/>
      <c r="C202" s="66" t="str">
        <f>IFERROR(VLOOKUP(B202,Roster!$A$2:$B$5000,2,FALSE),"-")</f>
        <v>-</v>
      </c>
      <c r="D202" s="66"/>
    </row>
    <row r="203" spans="2:4">
      <c r="B203" s="65"/>
      <c r="C203" s="66" t="str">
        <f>IFERROR(VLOOKUP(B203,Roster!$A$2:$B$5000,2,FALSE),"-")</f>
        <v>-</v>
      </c>
      <c r="D203" s="66"/>
    </row>
    <row r="204" spans="2:4">
      <c r="B204" s="65"/>
      <c r="C204" s="66" t="str">
        <f>IFERROR(VLOOKUP(B204,Roster!$A$2:$B$5000,2,FALSE),"-")</f>
        <v>-</v>
      </c>
      <c r="D204" s="66"/>
    </row>
    <row r="205" spans="2:4">
      <c r="B205" s="65"/>
      <c r="C205" s="66" t="str">
        <f>IFERROR(VLOOKUP(B205,Roster!$A$2:$B$5000,2,FALSE),"-")</f>
        <v>-</v>
      </c>
      <c r="D205" s="66"/>
    </row>
    <row r="206" spans="2:4">
      <c r="B206" s="65"/>
      <c r="C206" s="66" t="str">
        <f>IFERROR(VLOOKUP(B206,Roster!$A$2:$B$5000,2,FALSE),"-")</f>
        <v>-</v>
      </c>
      <c r="D206" s="66"/>
    </row>
    <row r="207" spans="2:4">
      <c r="B207" s="65"/>
      <c r="C207" s="66" t="str">
        <f>IFERROR(VLOOKUP(B207,Roster!$A$2:$B$5000,2,FALSE),"-")</f>
        <v>-</v>
      </c>
      <c r="D207" s="66"/>
    </row>
    <row r="208" spans="2:4">
      <c r="B208" s="65"/>
      <c r="C208" s="66" t="str">
        <f>IFERROR(VLOOKUP(B208,Roster!$A$2:$B$5000,2,FALSE),"-")</f>
        <v>-</v>
      </c>
      <c r="D208" s="66"/>
    </row>
    <row r="209" spans="2:4">
      <c r="B209" s="65"/>
      <c r="C209" s="66" t="str">
        <f>IFERROR(VLOOKUP(B209,Roster!$A$2:$B$5000,2,FALSE),"-")</f>
        <v>-</v>
      </c>
      <c r="D209" s="66"/>
    </row>
    <row r="210" spans="2:4">
      <c r="B210" s="65"/>
      <c r="C210" s="66" t="str">
        <f>IFERROR(VLOOKUP(B210,Roster!$A$2:$B$5000,2,FALSE),"-")</f>
        <v>-</v>
      </c>
      <c r="D210" s="66"/>
    </row>
    <row r="211" spans="2:4">
      <c r="B211" s="65"/>
      <c r="C211" s="66" t="str">
        <f>IFERROR(VLOOKUP(B211,Roster!$A$2:$B$5000,2,FALSE),"-")</f>
        <v>-</v>
      </c>
      <c r="D211" s="66"/>
    </row>
    <row r="212" spans="2:4">
      <c r="B212" s="65"/>
      <c r="C212" s="66" t="str">
        <f>IFERROR(VLOOKUP(B212,Roster!$A$2:$B$5000,2,FALSE),"-")</f>
        <v>-</v>
      </c>
      <c r="D212" s="66"/>
    </row>
    <row r="213" spans="2:4">
      <c r="B213" s="65"/>
      <c r="C213" s="66" t="str">
        <f>IFERROR(VLOOKUP(B213,Roster!$A$2:$B$5000,2,FALSE),"-")</f>
        <v>-</v>
      </c>
      <c r="D213" s="66"/>
    </row>
    <row r="214" spans="2:4">
      <c r="B214" s="65"/>
      <c r="C214" s="66" t="str">
        <f>IFERROR(VLOOKUP(B214,Roster!$A$2:$B$5000,2,FALSE),"-")</f>
        <v>-</v>
      </c>
      <c r="D214" s="66"/>
    </row>
    <row r="215" spans="2:4">
      <c r="B215" s="65"/>
      <c r="C215" s="66" t="str">
        <f>IFERROR(VLOOKUP(B215,Roster!$A$2:$B$5000,2,FALSE),"-")</f>
        <v>-</v>
      </c>
      <c r="D215" s="66"/>
    </row>
    <row r="216" spans="2:4">
      <c r="B216" s="65"/>
      <c r="C216" s="66" t="str">
        <f>IFERROR(VLOOKUP(B216,Roster!$A$2:$B$5000,2,FALSE),"-")</f>
        <v>-</v>
      </c>
      <c r="D216" s="66"/>
    </row>
    <row r="217" spans="2:4">
      <c r="B217" s="65"/>
      <c r="C217" s="66" t="str">
        <f>IFERROR(VLOOKUP(B217,Roster!$A$2:$B$5000,2,FALSE),"-")</f>
        <v>-</v>
      </c>
      <c r="D217" s="66"/>
    </row>
    <row r="218" spans="2:4">
      <c r="B218" s="65"/>
      <c r="C218" s="66" t="str">
        <f>IFERROR(VLOOKUP(B218,Roster!$A$2:$B$5000,2,FALSE),"-")</f>
        <v>-</v>
      </c>
      <c r="D218" s="66"/>
    </row>
    <row r="219" spans="2:4">
      <c r="B219" s="65"/>
      <c r="C219" s="66" t="str">
        <f>IFERROR(VLOOKUP(B219,Roster!$A$2:$B$5000,2,FALSE),"-")</f>
        <v>-</v>
      </c>
      <c r="D219" s="66"/>
    </row>
    <row r="220" spans="2:4">
      <c r="B220" s="65"/>
      <c r="C220" s="66" t="str">
        <f>IFERROR(VLOOKUP(B220,Roster!$A$2:$B$5000,2,FALSE),"-")</f>
        <v>-</v>
      </c>
      <c r="D220" s="66"/>
    </row>
    <row r="221" spans="2:4">
      <c r="B221" s="65"/>
      <c r="C221" s="66" t="str">
        <f>IFERROR(VLOOKUP(B221,Roster!$A$2:$B$5000,2,FALSE),"-")</f>
        <v>-</v>
      </c>
      <c r="D221" s="66"/>
    </row>
    <row r="222" spans="2:4">
      <c r="B222" s="65"/>
      <c r="C222" s="66" t="str">
        <f>IFERROR(VLOOKUP(B222,Roster!$A$2:$B$5000,2,FALSE),"-")</f>
        <v>-</v>
      </c>
      <c r="D222" s="66"/>
    </row>
    <row r="223" spans="2:4">
      <c r="B223" s="65"/>
      <c r="C223" s="66" t="str">
        <f>IFERROR(VLOOKUP(B223,Roster!$A$2:$B$5000,2,FALSE),"-")</f>
        <v>-</v>
      </c>
      <c r="D223" s="66"/>
    </row>
    <row r="224" spans="2:4">
      <c r="B224" s="65"/>
      <c r="C224" s="66" t="str">
        <f>IFERROR(VLOOKUP(B224,Roster!$A$2:$B$5000,2,FALSE),"-")</f>
        <v>-</v>
      </c>
      <c r="D224" s="66"/>
    </row>
    <row r="225" spans="2:4">
      <c r="B225" s="65"/>
      <c r="C225" s="66" t="str">
        <f>IFERROR(VLOOKUP(B225,Roster!$A$2:$B$5000,2,FALSE),"-")</f>
        <v>-</v>
      </c>
      <c r="D225" s="66"/>
    </row>
    <row r="226" spans="2:4">
      <c r="B226" s="65"/>
      <c r="C226" s="66" t="str">
        <f>IFERROR(VLOOKUP(B226,Roster!$A$2:$B$5000,2,FALSE),"-")</f>
        <v>-</v>
      </c>
      <c r="D226" s="66"/>
    </row>
    <row r="227" spans="2:4">
      <c r="B227" s="65"/>
      <c r="C227" s="66" t="str">
        <f>IFERROR(VLOOKUP(B227,Roster!$A$2:$B$5000,2,FALSE),"-")</f>
        <v>-</v>
      </c>
      <c r="D227" s="66"/>
    </row>
    <row r="228" spans="2:4">
      <c r="B228" s="65"/>
      <c r="C228" s="66" t="str">
        <f>IFERROR(VLOOKUP(B228,Roster!$A$2:$B$5000,2,FALSE),"-")</f>
        <v>-</v>
      </c>
      <c r="D228" s="66"/>
    </row>
    <row r="229" spans="2:4">
      <c r="B229" s="65"/>
      <c r="C229" s="66" t="str">
        <f>IFERROR(VLOOKUP(B229,Roster!$A$2:$B$5000,2,FALSE),"-")</f>
        <v>-</v>
      </c>
      <c r="D229" s="66"/>
    </row>
    <row r="230" spans="2:4">
      <c r="B230" s="65"/>
      <c r="C230" s="66" t="str">
        <f>IFERROR(VLOOKUP(B230,Roster!$A$2:$B$5000,2,FALSE),"-")</f>
        <v>-</v>
      </c>
      <c r="D230" s="66"/>
    </row>
    <row r="231" spans="2:4">
      <c r="B231" s="65"/>
      <c r="C231" s="66" t="str">
        <f>IFERROR(VLOOKUP(B231,Roster!$A$2:$B$5000,2,FALSE),"-")</f>
        <v>-</v>
      </c>
      <c r="D231" s="66"/>
    </row>
    <row r="232" spans="2:4">
      <c r="B232" s="65"/>
      <c r="C232" s="66" t="str">
        <f>IFERROR(VLOOKUP(B232,Roster!$A$2:$B$5000,2,FALSE),"-")</f>
        <v>-</v>
      </c>
      <c r="D232" s="66"/>
    </row>
    <row r="233" spans="2:4">
      <c r="B233" s="65"/>
      <c r="C233" s="66" t="str">
        <f>IFERROR(VLOOKUP(B233,Roster!$A$2:$B$5000,2,FALSE),"-")</f>
        <v>-</v>
      </c>
      <c r="D233" s="66"/>
    </row>
    <row r="234" spans="2:4">
      <c r="B234" s="65"/>
      <c r="C234" s="66" t="str">
        <f>IFERROR(VLOOKUP(B234,Roster!$A$2:$B$5000,2,FALSE),"-")</f>
        <v>-</v>
      </c>
      <c r="D234" s="66"/>
    </row>
    <row r="235" spans="2:4">
      <c r="B235" s="65"/>
      <c r="C235" s="66" t="str">
        <f>IFERROR(VLOOKUP(B235,Roster!$A$2:$B$5000,2,FALSE),"-")</f>
        <v>-</v>
      </c>
      <c r="D235" s="66"/>
    </row>
    <row r="236" spans="2:4">
      <c r="B236" s="65"/>
      <c r="C236" s="66" t="str">
        <f>IFERROR(VLOOKUP(B236,Roster!$A$2:$B$5000,2,FALSE),"-")</f>
        <v>-</v>
      </c>
      <c r="D236" s="66"/>
    </row>
    <row r="237" spans="2:4">
      <c r="B237" s="65"/>
      <c r="C237" s="66" t="str">
        <f>IFERROR(VLOOKUP(B237,Roster!$A$2:$B$5000,2,FALSE),"-")</f>
        <v>-</v>
      </c>
      <c r="D237" s="66"/>
    </row>
    <row r="238" spans="2:4">
      <c r="B238" s="65"/>
      <c r="C238" s="66" t="str">
        <f>IFERROR(VLOOKUP(B238,Roster!$A$2:$B$5000,2,FALSE),"-")</f>
        <v>-</v>
      </c>
      <c r="D238" s="66"/>
    </row>
    <row r="239" spans="2:4">
      <c r="B239" s="65"/>
      <c r="C239" s="66" t="str">
        <f>IFERROR(VLOOKUP(B239,Roster!$A$2:$B$5000,2,FALSE),"-")</f>
        <v>-</v>
      </c>
      <c r="D239" s="66"/>
    </row>
    <row r="240" spans="2:4">
      <c r="B240" s="65"/>
      <c r="C240" s="66" t="str">
        <f>IFERROR(VLOOKUP(B240,Roster!$A$2:$B$5000,2,FALSE),"-")</f>
        <v>-</v>
      </c>
      <c r="D240" s="66"/>
    </row>
    <row r="241" spans="2:4">
      <c r="B241" s="65"/>
      <c r="C241" s="66" t="str">
        <f>IFERROR(VLOOKUP(B241,Roster!$A$2:$B$5000,2,FALSE),"-")</f>
        <v>-</v>
      </c>
      <c r="D241" s="66"/>
    </row>
    <row r="242" spans="2:4">
      <c r="B242" s="65"/>
      <c r="C242" s="66" t="str">
        <f>IFERROR(VLOOKUP(B242,Roster!$A$2:$B$5000,2,FALSE),"-")</f>
        <v>-</v>
      </c>
      <c r="D242" s="66"/>
    </row>
    <row r="243" spans="2:4">
      <c r="B243" s="65"/>
      <c r="C243" s="66" t="str">
        <f>IFERROR(VLOOKUP(B243,Roster!$A$2:$B$5000,2,FALSE),"-")</f>
        <v>-</v>
      </c>
      <c r="D243" s="66"/>
    </row>
    <row r="244" spans="2:4">
      <c r="B244" s="65"/>
      <c r="C244" s="66" t="str">
        <f>IFERROR(VLOOKUP(B244,Roster!$A$2:$B$5000,2,FALSE),"-")</f>
        <v>-</v>
      </c>
      <c r="D244" s="66"/>
    </row>
    <row r="245" spans="2:4">
      <c r="B245" s="65"/>
      <c r="C245" s="66" t="str">
        <f>IFERROR(VLOOKUP(B245,Roster!$A$2:$B$5000,2,FALSE),"-")</f>
        <v>-</v>
      </c>
      <c r="D245" s="66"/>
    </row>
    <row r="246" spans="2:4">
      <c r="B246" s="65"/>
      <c r="C246" s="66" t="str">
        <f>IFERROR(VLOOKUP(B246,Roster!$A$2:$B$5000,2,FALSE),"-")</f>
        <v>-</v>
      </c>
      <c r="D246" s="66"/>
    </row>
    <row r="247" spans="2:4">
      <c r="B247" s="65"/>
      <c r="C247" s="66" t="str">
        <f>IFERROR(VLOOKUP(B247,Roster!$A$2:$B$5000,2,FALSE),"-")</f>
        <v>-</v>
      </c>
      <c r="D247" s="66"/>
    </row>
    <row r="248" spans="2:4">
      <c r="B248" s="65"/>
      <c r="C248" s="66" t="str">
        <f>IFERROR(VLOOKUP(B248,Roster!$A$2:$B$5000,2,FALSE),"-")</f>
        <v>-</v>
      </c>
      <c r="D248" s="66"/>
    </row>
    <row r="249" spans="2:4">
      <c r="B249" s="65"/>
      <c r="C249" s="66" t="str">
        <f>IFERROR(VLOOKUP(B249,Roster!$A$2:$B$5000,2,FALSE),"-")</f>
        <v>-</v>
      </c>
      <c r="D249" s="66"/>
    </row>
    <row r="250" spans="2:4">
      <c r="B250" s="65"/>
      <c r="C250" s="66" t="str">
        <f>IFERROR(VLOOKUP(B250,Roster!$A$2:$B$5000,2,FALSE),"-")</f>
        <v>-</v>
      </c>
      <c r="D250" s="66"/>
    </row>
    <row r="251" spans="2:4">
      <c r="B251" s="65"/>
      <c r="C251" s="66" t="str">
        <f>IFERROR(VLOOKUP(B251,Roster!$A$2:$B$5000,2,FALSE),"-")</f>
        <v>-</v>
      </c>
      <c r="D251" s="66"/>
    </row>
    <row r="252" spans="2:4">
      <c r="B252" s="65"/>
      <c r="C252" s="66" t="str">
        <f>IFERROR(VLOOKUP(B252,Roster!$A$2:$B$5000,2,FALSE),"-")</f>
        <v>-</v>
      </c>
      <c r="D252" s="66"/>
    </row>
    <row r="253" spans="2:4">
      <c r="B253" s="65"/>
      <c r="C253" s="66" t="str">
        <f>IFERROR(VLOOKUP(B253,Roster!$A$2:$B$5000,2,FALSE),"-")</f>
        <v>-</v>
      </c>
      <c r="D253" s="66"/>
    </row>
    <row r="254" spans="2:4">
      <c r="B254" s="65"/>
      <c r="C254" s="66" t="str">
        <f>IFERROR(VLOOKUP(B254,Roster!$A$2:$B$5000,2,FALSE),"-")</f>
        <v>-</v>
      </c>
      <c r="D254" s="66"/>
    </row>
    <row r="255" spans="2:4">
      <c r="B255" s="65"/>
      <c r="C255" s="66" t="str">
        <f>IFERROR(VLOOKUP(B255,Roster!$A$2:$B$5000,2,FALSE),"-")</f>
        <v>-</v>
      </c>
      <c r="D255" s="66"/>
    </row>
    <row r="256" spans="2:4">
      <c r="B256" s="65"/>
      <c r="C256" s="66" t="str">
        <f>IFERROR(VLOOKUP(B256,Roster!$A$2:$B$5000,2,FALSE),"-")</f>
        <v>-</v>
      </c>
      <c r="D256" s="66"/>
    </row>
    <row r="257" spans="2:4">
      <c r="B257" s="65"/>
      <c r="C257" s="66" t="str">
        <f>IFERROR(VLOOKUP(B257,Roster!$A$2:$B$5000,2,FALSE),"-")</f>
        <v>-</v>
      </c>
      <c r="D257" s="66"/>
    </row>
    <row r="258" spans="2:4">
      <c r="B258" s="65"/>
      <c r="C258" s="66" t="str">
        <f>IFERROR(VLOOKUP(B258,Roster!$A$2:$B$5000,2,FALSE),"-")</f>
        <v>-</v>
      </c>
      <c r="D258" s="66"/>
    </row>
    <row r="259" spans="2:4">
      <c r="B259" s="65"/>
      <c r="C259" s="66" t="str">
        <f>IFERROR(VLOOKUP(B259,Roster!$A$2:$B$5000,2,FALSE),"-")</f>
        <v>-</v>
      </c>
      <c r="D259" s="66"/>
    </row>
    <row r="260" spans="2:4">
      <c r="B260" s="65"/>
      <c r="C260" s="66" t="str">
        <f>IFERROR(VLOOKUP(B260,Roster!$A$2:$B$5000,2,FALSE),"-")</f>
        <v>-</v>
      </c>
      <c r="D260" s="66"/>
    </row>
    <row r="261" spans="2:4">
      <c r="B261" s="65"/>
      <c r="C261" s="66" t="str">
        <f>IFERROR(VLOOKUP(B261,Roster!$A$2:$B$5000,2,FALSE),"-")</f>
        <v>-</v>
      </c>
      <c r="D261" s="66"/>
    </row>
    <row r="262" spans="2:4">
      <c r="B262" s="65"/>
      <c r="C262" s="66" t="str">
        <f>IFERROR(VLOOKUP(B262,Roster!$A$2:$B$5000,2,FALSE),"-")</f>
        <v>-</v>
      </c>
      <c r="D262" s="66"/>
    </row>
    <row r="263" spans="2:4">
      <c r="B263" s="65"/>
      <c r="C263" s="66" t="str">
        <f>IFERROR(VLOOKUP(B263,Roster!$A$2:$B$5000,2,FALSE),"-")</f>
        <v>-</v>
      </c>
      <c r="D263" s="66"/>
    </row>
    <row r="264" spans="2:4">
      <c r="B264" s="65"/>
      <c r="C264" s="66" t="str">
        <f>IFERROR(VLOOKUP(B264,Roster!$A$2:$B$5000,2,FALSE),"-")</f>
        <v>-</v>
      </c>
      <c r="D264" s="66"/>
    </row>
    <row r="265" spans="2:4">
      <c r="B265" s="65"/>
      <c r="C265" s="66" t="str">
        <f>IFERROR(VLOOKUP(B265,Roster!$A$2:$B$5000,2,FALSE),"-")</f>
        <v>-</v>
      </c>
      <c r="D265" s="66"/>
    </row>
    <row r="266" spans="2:4">
      <c r="B266" s="65"/>
      <c r="C266" s="66" t="str">
        <f>IFERROR(VLOOKUP(B266,Roster!$A$2:$B$5000,2,FALSE),"-")</f>
        <v>-</v>
      </c>
      <c r="D266" s="66"/>
    </row>
    <row r="267" spans="2:4">
      <c r="B267" s="65"/>
      <c r="C267" s="66" t="str">
        <f>IFERROR(VLOOKUP(B267,Roster!$A$2:$B$5000,2,FALSE),"-")</f>
        <v>-</v>
      </c>
      <c r="D267" s="66"/>
    </row>
    <row r="268" spans="2:4">
      <c r="B268" s="65"/>
      <c r="C268" s="66" t="str">
        <f>IFERROR(VLOOKUP(B268,Roster!$A$2:$B$5000,2,FALSE),"-")</f>
        <v>-</v>
      </c>
      <c r="D268" s="66"/>
    </row>
    <row r="269" spans="2:4">
      <c r="B269" s="65"/>
      <c r="C269" s="66" t="str">
        <f>IFERROR(VLOOKUP(B269,Roster!$A$2:$B$5000,2,FALSE),"-")</f>
        <v>-</v>
      </c>
      <c r="D269" s="66"/>
    </row>
    <row r="270" spans="2:4">
      <c r="B270" s="65"/>
      <c r="C270" s="66" t="str">
        <f>IFERROR(VLOOKUP(B270,Roster!$A$2:$B$5000,2,FALSE),"-")</f>
        <v>-</v>
      </c>
      <c r="D270" s="66"/>
    </row>
    <row r="271" spans="2:4">
      <c r="B271" s="65"/>
      <c r="C271" s="66" t="str">
        <f>IFERROR(VLOOKUP(B271,Roster!$A$2:$B$5000,2,FALSE),"-")</f>
        <v>-</v>
      </c>
      <c r="D271" s="66"/>
    </row>
    <row r="272" spans="2:4">
      <c r="B272" s="65"/>
      <c r="C272" s="66" t="str">
        <f>IFERROR(VLOOKUP(B272,Roster!$A$2:$B$5000,2,FALSE),"-")</f>
        <v>-</v>
      </c>
      <c r="D272" s="66"/>
    </row>
    <row r="273" spans="2:4">
      <c r="B273" s="65"/>
      <c r="C273" s="66" t="str">
        <f>IFERROR(VLOOKUP(B273,Roster!$A$2:$B$5000,2,FALSE),"-")</f>
        <v>-</v>
      </c>
      <c r="D273" s="66"/>
    </row>
    <row r="274" spans="2:4">
      <c r="B274" s="65"/>
      <c r="C274" s="66" t="str">
        <f>IFERROR(VLOOKUP(B274,Roster!$A$2:$B$5000,2,FALSE),"-")</f>
        <v>-</v>
      </c>
      <c r="D274" s="66"/>
    </row>
    <row r="275" spans="2:4">
      <c r="B275" s="65"/>
      <c r="C275" s="66" t="str">
        <f>IFERROR(VLOOKUP(B275,Roster!$A$2:$B$5000,2,FALSE),"-")</f>
        <v>-</v>
      </c>
      <c r="D275" s="66"/>
    </row>
    <row r="276" spans="2:4">
      <c r="B276" s="65"/>
      <c r="C276" s="66" t="str">
        <f>IFERROR(VLOOKUP(B276,Roster!$A$2:$B$5000,2,FALSE),"-")</f>
        <v>-</v>
      </c>
      <c r="D276" s="66"/>
    </row>
    <row r="277" spans="2:4">
      <c r="B277" s="65"/>
      <c r="C277" s="66" t="str">
        <f>IFERROR(VLOOKUP(B277,Roster!$A$2:$B$5000,2,FALSE),"-")</f>
        <v>-</v>
      </c>
      <c r="D277" s="66"/>
    </row>
    <row r="278" spans="2:4">
      <c r="B278" s="65"/>
      <c r="C278" s="66" t="str">
        <f>IFERROR(VLOOKUP(B278,Roster!$A$2:$B$5000,2,FALSE),"-")</f>
        <v>-</v>
      </c>
      <c r="D278" s="66"/>
    </row>
    <row r="279" spans="2:4">
      <c r="B279" s="65"/>
      <c r="C279" s="66" t="str">
        <f>IFERROR(VLOOKUP(B279,Roster!$A$2:$B$5000,2,FALSE),"-")</f>
        <v>-</v>
      </c>
      <c r="D279" s="66"/>
    </row>
    <row r="280" spans="2:4">
      <c r="B280" s="65"/>
      <c r="C280" s="66" t="str">
        <f>IFERROR(VLOOKUP(B280,Roster!$A$2:$B$5000,2,FALSE),"-")</f>
        <v>-</v>
      </c>
      <c r="D280" s="66"/>
    </row>
    <row r="281" spans="2:4">
      <c r="B281" s="65"/>
      <c r="C281" s="66" t="str">
        <f>IFERROR(VLOOKUP(B281,Roster!$A$2:$B$5000,2,FALSE),"-")</f>
        <v>-</v>
      </c>
      <c r="D281" s="66"/>
    </row>
    <row r="282" spans="2:4">
      <c r="B282" s="65"/>
      <c r="C282" s="66" t="str">
        <f>IFERROR(VLOOKUP(B282,Roster!$A$2:$B$5000,2,FALSE),"-")</f>
        <v>-</v>
      </c>
      <c r="D282" s="66"/>
    </row>
    <row r="283" spans="2:4">
      <c r="B283" s="65"/>
      <c r="C283" s="66" t="str">
        <f>IFERROR(VLOOKUP(B283,Roster!$A$2:$B$5000,2,FALSE),"-")</f>
        <v>-</v>
      </c>
      <c r="D283" s="66"/>
    </row>
    <row r="284" spans="2:4">
      <c r="B284" s="65"/>
      <c r="C284" s="66" t="str">
        <f>IFERROR(VLOOKUP(B284,Roster!$A$2:$B$5000,2,FALSE),"-")</f>
        <v>-</v>
      </c>
      <c r="D284" s="66"/>
    </row>
    <row r="285" spans="2:4">
      <c r="B285" s="65"/>
      <c r="C285" s="66" t="str">
        <f>IFERROR(VLOOKUP(B285,Roster!$A$2:$B$5000,2,FALSE),"-")</f>
        <v>-</v>
      </c>
      <c r="D285" s="66"/>
    </row>
    <row r="286" spans="2:4">
      <c r="B286" s="65"/>
      <c r="C286" s="66" t="str">
        <f>IFERROR(VLOOKUP(B286,Roster!$A$2:$B$5000,2,FALSE),"-")</f>
        <v>-</v>
      </c>
      <c r="D286" s="66"/>
    </row>
    <row r="287" spans="2:4">
      <c r="B287" s="65"/>
      <c r="C287" s="66" t="str">
        <f>IFERROR(VLOOKUP(B287,Roster!$A$2:$B$5000,2,FALSE),"-")</f>
        <v>-</v>
      </c>
      <c r="D287" s="66"/>
    </row>
    <row r="288" spans="2:4">
      <c r="B288" s="65"/>
      <c r="C288" s="66" t="str">
        <f>IFERROR(VLOOKUP(B288,Roster!$A$2:$B$5000,2,FALSE),"-")</f>
        <v>-</v>
      </c>
      <c r="D288" s="66"/>
    </row>
    <row r="289" spans="2:4">
      <c r="B289" s="65"/>
      <c r="C289" s="66" t="str">
        <f>IFERROR(VLOOKUP(B289,Roster!$A$2:$B$5000,2,FALSE),"-")</f>
        <v>-</v>
      </c>
      <c r="D289" s="66"/>
    </row>
    <row r="290" spans="2:4">
      <c r="B290" s="65"/>
      <c r="C290" s="66" t="str">
        <f>IFERROR(VLOOKUP(B290,Roster!$A$2:$B$5000,2,FALSE),"-")</f>
        <v>-</v>
      </c>
      <c r="D290" s="66"/>
    </row>
    <row r="291" spans="2:4">
      <c r="B291" s="65"/>
      <c r="C291" s="66" t="str">
        <f>IFERROR(VLOOKUP(B291,Roster!$A$2:$B$5000,2,FALSE),"-")</f>
        <v>-</v>
      </c>
      <c r="D291" s="66"/>
    </row>
    <row r="292" spans="2:4">
      <c r="B292" s="65"/>
      <c r="C292" s="66" t="str">
        <f>IFERROR(VLOOKUP(B292,Roster!$A$2:$B$5000,2,FALSE),"-")</f>
        <v>-</v>
      </c>
      <c r="D292" s="66"/>
    </row>
    <row r="293" spans="2:4">
      <c r="B293" s="65"/>
      <c r="C293" s="66" t="str">
        <f>IFERROR(VLOOKUP(B293,Roster!$A$2:$B$5000,2,FALSE),"-")</f>
        <v>-</v>
      </c>
      <c r="D293" s="66"/>
    </row>
    <row r="294" spans="2:4">
      <c r="B294" s="65"/>
      <c r="C294" s="66" t="str">
        <f>IFERROR(VLOOKUP(B294,Roster!$A$2:$B$5000,2,FALSE),"-")</f>
        <v>-</v>
      </c>
      <c r="D294" s="66"/>
    </row>
    <row r="295" spans="2:4">
      <c r="B295" s="65"/>
      <c r="C295" s="66" t="str">
        <f>IFERROR(VLOOKUP(B295,Roster!$A$2:$B$5000,2,FALSE),"-")</f>
        <v>-</v>
      </c>
      <c r="D295" s="66"/>
    </row>
    <row r="296" spans="2:4">
      <c r="B296" s="65"/>
      <c r="C296" s="66" t="str">
        <f>IFERROR(VLOOKUP(B296,Roster!$A$2:$B$5000,2,FALSE),"-")</f>
        <v>-</v>
      </c>
      <c r="D296" s="66"/>
    </row>
    <row r="297" spans="2:4">
      <c r="B297" s="65"/>
      <c r="C297" s="66" t="str">
        <f>IFERROR(VLOOKUP(B297,Roster!$A$2:$B$5000,2,FALSE),"-")</f>
        <v>-</v>
      </c>
      <c r="D297" s="66"/>
    </row>
    <row r="298" spans="2:4">
      <c r="B298" s="65"/>
      <c r="C298" s="66" t="str">
        <f>IFERROR(VLOOKUP(B298,Roster!$A$2:$B$5000,2,FALSE),"-")</f>
        <v>-</v>
      </c>
      <c r="D298" s="66"/>
    </row>
    <row r="299" spans="2:4">
      <c r="B299" s="65"/>
      <c r="C299" s="66" t="str">
        <f>IFERROR(VLOOKUP(B299,Roster!$A$2:$B$5000,2,FALSE),"-")</f>
        <v>-</v>
      </c>
      <c r="D299" s="66"/>
    </row>
    <row r="300" spans="2:4">
      <c r="B300" s="65"/>
      <c r="C300" s="66" t="str">
        <f>IFERROR(VLOOKUP(B300,Roster!$A$2:$B$5000,2,FALSE),"-")</f>
        <v>-</v>
      </c>
      <c r="D300" s="66"/>
    </row>
    <row r="301" spans="2:4">
      <c r="B301" s="65"/>
      <c r="C301" s="66" t="str">
        <f>IFERROR(VLOOKUP(B301,Roster!$A$2:$B$5000,2,FALSE),"-")</f>
        <v>-</v>
      </c>
      <c r="D301" s="66"/>
    </row>
    <row r="302" spans="2:4">
      <c r="B302" s="65"/>
      <c r="C302" s="66" t="str">
        <f>IFERROR(VLOOKUP(B302,Roster!$A$2:$B$5000,2,FALSE),"-")</f>
        <v>-</v>
      </c>
      <c r="D302" s="66"/>
    </row>
    <row r="303" spans="2:4">
      <c r="B303" s="65"/>
      <c r="C303" s="66" t="str">
        <f>IFERROR(VLOOKUP(B303,Roster!$A$2:$B$5000,2,FALSE),"-")</f>
        <v>-</v>
      </c>
      <c r="D303" s="66"/>
    </row>
    <row r="304" spans="2:4">
      <c r="B304" s="65"/>
      <c r="C304" s="66" t="str">
        <f>IFERROR(VLOOKUP(B304,Roster!$A$2:$B$5000,2,FALSE),"-")</f>
        <v>-</v>
      </c>
      <c r="D304" s="66"/>
    </row>
    <row r="305" spans="2:4">
      <c r="B305" s="65"/>
      <c r="C305" s="66" t="str">
        <f>IFERROR(VLOOKUP(B305,Roster!$A$2:$B$5000,2,FALSE),"-")</f>
        <v>-</v>
      </c>
      <c r="D305" s="66"/>
    </row>
    <row r="306" spans="2:4">
      <c r="B306" s="65"/>
      <c r="C306" s="66" t="str">
        <f>IFERROR(VLOOKUP(B306,Roster!$A$2:$B$5000,2,FALSE),"-")</f>
        <v>-</v>
      </c>
      <c r="D306" s="66"/>
    </row>
    <row r="307" spans="2:4">
      <c r="B307" s="65"/>
      <c r="C307" s="66" t="str">
        <f>IFERROR(VLOOKUP(B307,Roster!$A$2:$B$5000,2,FALSE),"-")</f>
        <v>-</v>
      </c>
      <c r="D307" s="66"/>
    </row>
    <row r="308" spans="2:4">
      <c r="B308" s="65"/>
      <c r="C308" s="66" t="str">
        <f>IFERROR(VLOOKUP(B308,Roster!$A$2:$B$5000,2,FALSE),"-")</f>
        <v>-</v>
      </c>
      <c r="D308" s="66"/>
    </row>
    <row r="309" spans="2:4">
      <c r="B309" s="65"/>
      <c r="C309" s="66" t="str">
        <f>IFERROR(VLOOKUP(B309,Roster!$A$2:$B$5000,2,FALSE),"-")</f>
        <v>-</v>
      </c>
      <c r="D309" s="66"/>
    </row>
    <row r="310" spans="2:4">
      <c r="B310" s="65"/>
      <c r="C310" s="66" t="str">
        <f>IFERROR(VLOOKUP(B310,Roster!$A$2:$B$5000,2,FALSE),"-")</f>
        <v>-</v>
      </c>
      <c r="D310" s="66"/>
    </row>
    <row r="311" spans="2:4">
      <c r="B311" s="65"/>
      <c r="C311" s="66" t="str">
        <f>IFERROR(VLOOKUP(B311,Roster!$A$2:$B$5000,2,FALSE),"-")</f>
        <v>-</v>
      </c>
      <c r="D311" s="66"/>
    </row>
    <row r="312" spans="2:4">
      <c r="B312" s="65"/>
      <c r="C312" s="66" t="str">
        <f>IFERROR(VLOOKUP(B312,Roster!$A$2:$B$5000,2,FALSE),"-")</f>
        <v>-</v>
      </c>
      <c r="D312" s="66"/>
    </row>
    <row r="313" spans="2:4">
      <c r="B313" s="65"/>
      <c r="C313" s="66" t="str">
        <f>IFERROR(VLOOKUP(B313,Roster!$A$2:$B$5000,2,FALSE),"-")</f>
        <v>-</v>
      </c>
      <c r="D313" s="66"/>
    </row>
    <row r="314" spans="2:4">
      <c r="B314" s="65"/>
      <c r="C314" s="66" t="str">
        <f>IFERROR(VLOOKUP(B314,Roster!$A$2:$B$5000,2,FALSE),"-")</f>
        <v>-</v>
      </c>
      <c r="D314" s="66"/>
    </row>
    <row r="315" spans="2:4">
      <c r="B315" s="65"/>
      <c r="C315" s="66" t="str">
        <f>IFERROR(VLOOKUP(B315,Roster!$A$2:$B$5000,2,FALSE),"-")</f>
        <v>-</v>
      </c>
      <c r="D315" s="66"/>
    </row>
    <row r="316" spans="2:4">
      <c r="B316" s="65"/>
      <c r="C316" s="66" t="str">
        <f>IFERROR(VLOOKUP(B316,Roster!$A$2:$B$5000,2,FALSE),"-")</f>
        <v>-</v>
      </c>
      <c r="D316" s="66"/>
    </row>
    <row r="317" spans="2:4">
      <c r="B317" s="65"/>
      <c r="C317" s="66" t="str">
        <f>IFERROR(VLOOKUP(B317,Roster!$A$2:$B$5000,2,FALSE),"-")</f>
        <v>-</v>
      </c>
      <c r="D317" s="66"/>
    </row>
    <row r="318" spans="2:4">
      <c r="B318" s="65"/>
      <c r="C318" s="66" t="str">
        <f>IFERROR(VLOOKUP(B318,Roster!$A$2:$B$5000,2,FALSE),"-")</f>
        <v>-</v>
      </c>
      <c r="D318" s="66"/>
    </row>
    <row r="319" spans="2:4">
      <c r="B319" s="65"/>
      <c r="C319" s="66" t="str">
        <f>IFERROR(VLOOKUP(B319,Roster!$A$2:$B$5000,2,FALSE),"-")</f>
        <v>-</v>
      </c>
      <c r="D319" s="66"/>
    </row>
    <row r="320" spans="2:4">
      <c r="B320" s="65"/>
      <c r="C320" s="66" t="str">
        <f>IFERROR(VLOOKUP(B320,Roster!$A$2:$B$5000,2,FALSE),"-")</f>
        <v>-</v>
      </c>
      <c r="D320" s="66"/>
    </row>
    <row r="321" spans="2:4">
      <c r="B321" s="65"/>
      <c r="C321" s="66" t="str">
        <f>IFERROR(VLOOKUP(B321,Roster!$A$2:$B$5000,2,FALSE),"-")</f>
        <v>-</v>
      </c>
      <c r="D321" s="66"/>
    </row>
    <row r="322" spans="2:4">
      <c r="B322" s="65"/>
      <c r="C322" s="66" t="str">
        <f>IFERROR(VLOOKUP(B322,Roster!$A$2:$B$5000,2,FALSE),"-")</f>
        <v>-</v>
      </c>
      <c r="D322" s="66"/>
    </row>
    <row r="323" spans="2:4">
      <c r="B323" s="65"/>
      <c r="C323" s="66" t="str">
        <f>IFERROR(VLOOKUP(B323,Roster!$A$2:$B$5000,2,FALSE),"-")</f>
        <v>-</v>
      </c>
      <c r="D323" s="66"/>
    </row>
    <row r="324" spans="2:4">
      <c r="B324" s="65"/>
      <c r="C324" s="66" t="str">
        <f>IFERROR(VLOOKUP(B324,Roster!$A$2:$B$5000,2,FALSE),"-")</f>
        <v>-</v>
      </c>
      <c r="D324" s="66"/>
    </row>
    <row r="325" spans="2:4">
      <c r="B325" s="65"/>
      <c r="C325" s="66" t="str">
        <f>IFERROR(VLOOKUP(B325,Roster!$A$2:$B$5000,2,FALSE),"-")</f>
        <v>-</v>
      </c>
      <c r="D325" s="66"/>
    </row>
    <row r="326" spans="2:4">
      <c r="B326" s="65"/>
      <c r="C326" s="66" t="str">
        <f>IFERROR(VLOOKUP(B326,Roster!$A$2:$B$5000,2,FALSE),"-")</f>
        <v>-</v>
      </c>
      <c r="D326" s="66"/>
    </row>
    <row r="327" spans="2:4">
      <c r="B327" s="65"/>
      <c r="C327" s="66" t="str">
        <f>IFERROR(VLOOKUP(B327,Roster!$A$2:$B$5000,2,FALSE),"-")</f>
        <v>-</v>
      </c>
      <c r="D327" s="66"/>
    </row>
    <row r="328" spans="2:4">
      <c r="B328" s="65"/>
      <c r="C328" s="66" t="str">
        <f>IFERROR(VLOOKUP(B328,Roster!$A$2:$B$5000,2,FALSE),"-")</f>
        <v>-</v>
      </c>
      <c r="D328" s="66"/>
    </row>
    <row r="329" spans="2:4">
      <c r="B329" s="65"/>
      <c r="C329" s="66" t="str">
        <f>IFERROR(VLOOKUP(B329,Roster!$A$2:$B$5000,2,FALSE),"-")</f>
        <v>-</v>
      </c>
      <c r="D329" s="66"/>
    </row>
    <row r="330" spans="2:4">
      <c r="B330" s="65"/>
      <c r="C330" s="66" t="str">
        <f>IFERROR(VLOOKUP(B330,Roster!$A$2:$B$5000,2,FALSE),"-")</f>
        <v>-</v>
      </c>
      <c r="D330" s="66"/>
    </row>
    <row r="331" spans="2:4">
      <c r="B331" s="65"/>
      <c r="C331" s="66" t="str">
        <f>IFERROR(VLOOKUP(B331,Roster!$A$2:$B$5000,2,FALSE),"-")</f>
        <v>-</v>
      </c>
      <c r="D331" s="66"/>
    </row>
    <row r="332" spans="2:4">
      <c r="B332" s="65"/>
      <c r="C332" s="66" t="str">
        <f>IFERROR(VLOOKUP(B332,Roster!$A$2:$B$5000,2,FALSE),"-")</f>
        <v>-</v>
      </c>
      <c r="D332" s="66"/>
    </row>
    <row r="333" spans="2:4">
      <c r="B333" s="65"/>
      <c r="C333" s="66" t="str">
        <f>IFERROR(VLOOKUP(B333,Roster!$A$2:$B$5000,2,FALSE),"-")</f>
        <v>-</v>
      </c>
      <c r="D333" s="66"/>
    </row>
    <row r="334" spans="2:4">
      <c r="B334" s="65"/>
      <c r="C334" s="66" t="str">
        <f>IFERROR(VLOOKUP(B334,Roster!$A$2:$B$5000,2,FALSE),"-")</f>
        <v>-</v>
      </c>
      <c r="D334" s="66"/>
    </row>
    <row r="335" spans="2:4">
      <c r="B335" s="65"/>
      <c r="C335" s="66" t="str">
        <f>IFERROR(VLOOKUP(B335,Roster!$A$2:$B$5000,2,FALSE),"-")</f>
        <v>-</v>
      </c>
      <c r="D335" s="66"/>
    </row>
    <row r="336" spans="2:4">
      <c r="B336" s="65"/>
      <c r="C336" s="66" t="str">
        <f>IFERROR(VLOOKUP(B336,Roster!$A$2:$B$5000,2,FALSE),"-")</f>
        <v>-</v>
      </c>
      <c r="D336" s="66"/>
    </row>
    <row r="337" spans="2:4">
      <c r="B337" s="65"/>
      <c r="C337" s="66" t="str">
        <f>IFERROR(VLOOKUP(B337,Roster!$A$2:$B$5000,2,FALSE),"-")</f>
        <v>-</v>
      </c>
      <c r="D337" s="66"/>
    </row>
    <row r="338" spans="2:4">
      <c r="B338" s="65"/>
      <c r="C338" s="66" t="str">
        <f>IFERROR(VLOOKUP(B338,Roster!$A$2:$B$5000,2,FALSE),"-")</f>
        <v>-</v>
      </c>
      <c r="D338" s="66"/>
    </row>
    <row r="339" spans="2:4">
      <c r="B339" s="65"/>
      <c r="C339" s="66" t="str">
        <f>IFERROR(VLOOKUP(B339,Roster!$A$2:$B$5000,2,FALSE),"-")</f>
        <v>-</v>
      </c>
      <c r="D339" s="66"/>
    </row>
    <row r="340" spans="2:4">
      <c r="B340" s="65"/>
      <c r="C340" s="66" t="str">
        <f>IFERROR(VLOOKUP(B340,Roster!$A$2:$B$5000,2,FALSE),"-")</f>
        <v>-</v>
      </c>
      <c r="D340" s="66"/>
    </row>
    <row r="341" spans="2:4">
      <c r="B341" s="65"/>
      <c r="C341" s="66" t="str">
        <f>IFERROR(VLOOKUP(B341,Roster!$A$2:$B$5000,2,FALSE),"-")</f>
        <v>-</v>
      </c>
      <c r="D341" s="66"/>
    </row>
    <row r="342" spans="2:4">
      <c r="B342" s="65"/>
      <c r="C342" s="66" t="str">
        <f>IFERROR(VLOOKUP(B342,Roster!$A$2:$B$5000,2,FALSE),"-")</f>
        <v>-</v>
      </c>
      <c r="D342" s="66"/>
    </row>
    <row r="343" spans="2:4">
      <c r="B343" s="65"/>
      <c r="C343" s="66" t="str">
        <f>IFERROR(VLOOKUP(B343,Roster!$A$2:$B$5000,2,FALSE),"-")</f>
        <v>-</v>
      </c>
      <c r="D343" s="66"/>
    </row>
    <row r="344" spans="2:4">
      <c r="B344" s="65"/>
      <c r="C344" s="66" t="str">
        <f>IFERROR(VLOOKUP(B344,Roster!$A$2:$B$5000,2,FALSE),"-")</f>
        <v>-</v>
      </c>
      <c r="D344" s="66"/>
    </row>
    <row r="345" spans="2:4">
      <c r="B345" s="65"/>
      <c r="C345" s="66" t="str">
        <f>IFERROR(VLOOKUP(B345,Roster!$A$2:$B$5000,2,FALSE),"-")</f>
        <v>-</v>
      </c>
      <c r="D345" s="66"/>
    </row>
    <row r="346" spans="2:4">
      <c r="B346" s="65"/>
      <c r="C346" s="66" t="str">
        <f>IFERROR(VLOOKUP(B346,Roster!$A$2:$B$5000,2,FALSE),"-")</f>
        <v>-</v>
      </c>
      <c r="D346" s="66"/>
    </row>
    <row r="347" spans="2:4">
      <c r="B347" s="65"/>
      <c r="C347" s="66" t="str">
        <f>IFERROR(VLOOKUP(B347,Roster!$A$2:$B$5000,2,FALSE),"-")</f>
        <v>-</v>
      </c>
      <c r="D347" s="66"/>
    </row>
    <row r="348" spans="2:4">
      <c r="B348" s="65"/>
      <c r="C348" s="66" t="str">
        <f>IFERROR(VLOOKUP(B348,Roster!$A$2:$B$5000,2,FALSE),"-")</f>
        <v>-</v>
      </c>
      <c r="D348" s="66"/>
    </row>
    <row r="349" spans="2:4">
      <c r="B349" s="65"/>
      <c r="C349" s="66" t="str">
        <f>IFERROR(VLOOKUP(B349,Roster!$A$2:$B$5000,2,FALSE),"-")</f>
        <v>-</v>
      </c>
      <c r="D349" s="66"/>
    </row>
    <row r="350" spans="2:4">
      <c r="B350" s="65"/>
      <c r="C350" s="66" t="str">
        <f>IFERROR(VLOOKUP(B350,Roster!$A$2:$B$5000,2,FALSE),"-")</f>
        <v>-</v>
      </c>
      <c r="D350" s="66"/>
    </row>
    <row r="351" spans="2:4">
      <c r="B351" s="65"/>
      <c r="C351" s="66" t="str">
        <f>IFERROR(VLOOKUP(B351,Roster!$A$2:$B$5000,2,FALSE),"-")</f>
        <v>-</v>
      </c>
      <c r="D351" s="66"/>
    </row>
    <row r="352" spans="2:4">
      <c r="B352" s="65"/>
      <c r="C352" s="66" t="str">
        <f>IFERROR(VLOOKUP(B352,Roster!$A$2:$B$5000,2,FALSE),"-")</f>
        <v>-</v>
      </c>
      <c r="D352" s="66"/>
    </row>
    <row r="353" spans="2:4">
      <c r="B353" s="65"/>
      <c r="C353" s="66" t="str">
        <f>IFERROR(VLOOKUP(B353,Roster!$A$2:$B$5000,2,FALSE),"-")</f>
        <v>-</v>
      </c>
      <c r="D353" s="66"/>
    </row>
    <row r="354" spans="2:4">
      <c r="B354" s="65"/>
      <c r="C354" s="66" t="str">
        <f>IFERROR(VLOOKUP(B354,Roster!$A$2:$B$5000,2,FALSE),"-")</f>
        <v>-</v>
      </c>
      <c r="D354" s="66"/>
    </row>
    <row r="355" spans="2:4">
      <c r="B355" s="65"/>
      <c r="C355" s="66" t="str">
        <f>IFERROR(VLOOKUP(B355,Roster!$A$2:$B$5000,2,FALSE),"-")</f>
        <v>-</v>
      </c>
      <c r="D355" s="66"/>
    </row>
    <row r="356" spans="2:4">
      <c r="B356" s="65"/>
      <c r="C356" s="66" t="str">
        <f>IFERROR(VLOOKUP(B356,Roster!$A$2:$B$5000,2,FALSE),"-")</f>
        <v>-</v>
      </c>
      <c r="D356" s="66"/>
    </row>
    <row r="357" spans="2:4">
      <c r="B357" s="65"/>
      <c r="C357" s="66" t="str">
        <f>IFERROR(VLOOKUP(B357,Roster!$A$2:$B$5000,2,FALSE),"-")</f>
        <v>-</v>
      </c>
      <c r="D357" s="66"/>
    </row>
    <row r="358" spans="2:4">
      <c r="B358" s="65"/>
      <c r="C358" s="66" t="str">
        <f>IFERROR(VLOOKUP(B358,Roster!$A$2:$B$5000,2,FALSE),"-")</f>
        <v>-</v>
      </c>
      <c r="D358" s="66"/>
    </row>
    <row r="359" spans="2:4">
      <c r="B359" s="65"/>
      <c r="C359" s="66" t="str">
        <f>IFERROR(VLOOKUP(B359,Roster!$A$2:$B$5000,2,FALSE),"-")</f>
        <v>-</v>
      </c>
      <c r="D359" s="66"/>
    </row>
    <row r="360" spans="2:4">
      <c r="B360" s="65"/>
      <c r="C360" s="66" t="str">
        <f>IFERROR(VLOOKUP(B360,Roster!$A$2:$B$5000,2,FALSE),"-")</f>
        <v>-</v>
      </c>
      <c r="D360" s="66"/>
    </row>
    <row r="361" spans="2:4">
      <c r="B361" s="65"/>
      <c r="C361" s="66" t="str">
        <f>IFERROR(VLOOKUP(B361,Roster!$A$2:$B$5000,2,FALSE),"-")</f>
        <v>-</v>
      </c>
      <c r="D361" s="66"/>
    </row>
    <row r="362" spans="2:4">
      <c r="B362" s="65"/>
      <c r="C362" s="66" t="str">
        <f>IFERROR(VLOOKUP(B362,Roster!$A$2:$B$5000,2,FALSE),"-")</f>
        <v>-</v>
      </c>
      <c r="D362" s="66"/>
    </row>
    <row r="363" spans="2:4">
      <c r="B363" s="65"/>
      <c r="C363" s="66" t="str">
        <f>IFERROR(VLOOKUP(B363,Roster!$A$2:$B$5000,2,FALSE),"-")</f>
        <v>-</v>
      </c>
      <c r="D363" s="66"/>
    </row>
    <row r="364" spans="2:4">
      <c r="B364" s="65"/>
      <c r="C364" s="66" t="str">
        <f>IFERROR(VLOOKUP(B364,Roster!$A$2:$B$5000,2,FALSE),"-")</f>
        <v>-</v>
      </c>
      <c r="D364" s="66"/>
    </row>
    <row r="365" spans="2:4">
      <c r="B365" s="65"/>
      <c r="C365" s="66" t="str">
        <f>IFERROR(VLOOKUP(B365,Roster!$A$2:$B$5000,2,FALSE),"-")</f>
        <v>-</v>
      </c>
      <c r="D365" s="66"/>
    </row>
    <row r="366" spans="2:4">
      <c r="B366" s="65"/>
      <c r="C366" s="66" t="str">
        <f>IFERROR(VLOOKUP(B366,Roster!$A$2:$B$5000,2,FALSE),"-")</f>
        <v>-</v>
      </c>
      <c r="D366" s="66"/>
    </row>
    <row r="367" spans="2:4">
      <c r="B367" s="65"/>
      <c r="C367" s="66" t="str">
        <f>IFERROR(VLOOKUP(B367,Roster!$A$2:$B$5000,2,FALSE),"-")</f>
        <v>-</v>
      </c>
      <c r="D367" s="66"/>
    </row>
    <row r="368" spans="2:4">
      <c r="B368" s="65"/>
      <c r="C368" s="66" t="str">
        <f>IFERROR(VLOOKUP(B368,Roster!$A$2:$B$5000,2,FALSE),"-")</f>
        <v>-</v>
      </c>
      <c r="D368" s="66"/>
    </row>
    <row r="369" spans="2:4">
      <c r="B369" s="65"/>
      <c r="C369" s="66" t="str">
        <f>IFERROR(VLOOKUP(B369,Roster!$A$2:$B$5000,2,FALSE),"-")</f>
        <v>-</v>
      </c>
      <c r="D369" s="66"/>
    </row>
    <row r="370" spans="2:4">
      <c r="B370" s="65"/>
      <c r="C370" s="66" t="str">
        <f>IFERROR(VLOOKUP(B370,Roster!$A$2:$B$5000,2,FALSE),"-")</f>
        <v>-</v>
      </c>
      <c r="D370" s="66"/>
    </row>
    <row r="371" spans="2:4">
      <c r="B371" s="65"/>
      <c r="C371" s="66" t="str">
        <f>IFERROR(VLOOKUP(B371,Roster!$A$2:$B$5000,2,FALSE),"-")</f>
        <v>-</v>
      </c>
      <c r="D371" s="66"/>
    </row>
    <row r="372" spans="2:4">
      <c r="B372" s="65"/>
      <c r="C372" s="66" t="str">
        <f>IFERROR(VLOOKUP(B372,Roster!$A$2:$B$5000,2,FALSE),"-")</f>
        <v>-</v>
      </c>
      <c r="D372" s="66"/>
    </row>
    <row r="373" spans="2:4">
      <c r="B373" s="65"/>
      <c r="C373" s="66" t="str">
        <f>IFERROR(VLOOKUP(B373,Roster!$A$2:$B$5000,2,FALSE),"-")</f>
        <v>-</v>
      </c>
      <c r="D373" s="66"/>
    </row>
    <row r="374" spans="2:4">
      <c r="B374" s="65"/>
      <c r="C374" s="66" t="str">
        <f>IFERROR(VLOOKUP(B374,Roster!$A$2:$B$5000,2,FALSE),"-")</f>
        <v>-</v>
      </c>
      <c r="D374" s="66"/>
    </row>
    <row r="375" spans="2:4">
      <c r="B375" s="65"/>
      <c r="C375" s="66" t="str">
        <f>IFERROR(VLOOKUP(B375,Roster!$A$2:$B$5000,2,FALSE),"-")</f>
        <v>-</v>
      </c>
      <c r="D375" s="66"/>
    </row>
    <row r="376" spans="2:4">
      <c r="B376" s="65"/>
      <c r="C376" s="66" t="str">
        <f>IFERROR(VLOOKUP(B376,Roster!$A$2:$B$5000,2,FALSE),"-")</f>
        <v>-</v>
      </c>
      <c r="D376" s="66"/>
    </row>
    <row r="377" spans="2:4">
      <c r="B377" s="65"/>
      <c r="C377" s="66" t="str">
        <f>IFERROR(VLOOKUP(B377,Roster!$A$2:$B$5000,2,FALSE),"-")</f>
        <v>-</v>
      </c>
      <c r="D377" s="66"/>
    </row>
    <row r="378" spans="2:4">
      <c r="B378" s="65"/>
      <c r="C378" s="66" t="str">
        <f>IFERROR(VLOOKUP(B378,Roster!$A$2:$B$5000,2,FALSE),"-")</f>
        <v>-</v>
      </c>
      <c r="D378" s="66"/>
    </row>
    <row r="379" spans="2:4">
      <c r="B379" s="65"/>
      <c r="C379" s="66" t="str">
        <f>IFERROR(VLOOKUP(B379,Roster!$A$2:$B$5000,2,FALSE),"-")</f>
        <v>-</v>
      </c>
      <c r="D379" s="66"/>
    </row>
    <row r="380" spans="2:4">
      <c r="B380" s="65"/>
      <c r="C380" s="66" t="str">
        <f>IFERROR(VLOOKUP(B380,Roster!$A$2:$B$5000,2,FALSE),"-")</f>
        <v>-</v>
      </c>
      <c r="D380" s="66"/>
    </row>
    <row r="381" spans="2:4">
      <c r="B381" s="65"/>
      <c r="C381" s="66" t="str">
        <f>IFERROR(VLOOKUP(B381,Roster!$A$2:$B$5000,2,FALSE),"-")</f>
        <v>-</v>
      </c>
      <c r="D381" s="66"/>
    </row>
    <row r="382" spans="2:4">
      <c r="B382" s="65"/>
      <c r="C382" s="66" t="str">
        <f>IFERROR(VLOOKUP(B382,Roster!$A$2:$B$5000,2,FALSE),"-")</f>
        <v>-</v>
      </c>
      <c r="D382" s="66"/>
    </row>
    <row r="383" spans="2:4">
      <c r="B383" s="65"/>
      <c r="C383" s="66" t="str">
        <f>IFERROR(VLOOKUP(B383,Roster!$A$2:$B$5000,2,FALSE),"-")</f>
        <v>-</v>
      </c>
      <c r="D383" s="66"/>
    </row>
    <row r="384" spans="2:4">
      <c r="B384" s="65"/>
      <c r="C384" s="66" t="str">
        <f>IFERROR(VLOOKUP(B384,Roster!$A$2:$B$5000,2,FALSE),"-")</f>
        <v>-</v>
      </c>
      <c r="D384" s="66"/>
    </row>
    <row r="385" spans="2:4">
      <c r="B385" s="65"/>
      <c r="C385" s="66" t="str">
        <f>IFERROR(VLOOKUP(B385,Roster!$A$2:$B$5000,2,FALSE),"-")</f>
        <v>-</v>
      </c>
      <c r="D385" s="66"/>
    </row>
    <row r="386" spans="2:4">
      <c r="B386" s="65"/>
      <c r="C386" s="66" t="str">
        <f>IFERROR(VLOOKUP(B386,Roster!$A$2:$B$5000,2,FALSE),"-")</f>
        <v>-</v>
      </c>
      <c r="D386" s="66"/>
    </row>
    <row r="387" spans="2:4">
      <c r="B387" s="65"/>
      <c r="C387" s="66" t="str">
        <f>IFERROR(VLOOKUP(B387,Roster!$A$2:$B$5000,2,FALSE),"-")</f>
        <v>-</v>
      </c>
      <c r="D387" s="66"/>
    </row>
    <row r="388" spans="2:4">
      <c r="B388" s="65"/>
      <c r="C388" s="66" t="str">
        <f>IFERROR(VLOOKUP(B388,Roster!$A$2:$B$5000,2,FALSE),"-")</f>
        <v>-</v>
      </c>
      <c r="D388" s="66"/>
    </row>
    <row r="389" spans="2:4">
      <c r="B389" s="65"/>
      <c r="C389" s="66" t="str">
        <f>IFERROR(VLOOKUP(B389,Roster!$A$2:$B$5000,2,FALSE),"-")</f>
        <v>-</v>
      </c>
      <c r="D389" s="66"/>
    </row>
    <row r="390" spans="2:4">
      <c r="B390" s="65"/>
      <c r="C390" s="66" t="str">
        <f>IFERROR(VLOOKUP(B390,Roster!$A$2:$B$5000,2,FALSE),"-")</f>
        <v>-</v>
      </c>
      <c r="D390" s="66"/>
    </row>
    <row r="391" spans="2:4">
      <c r="B391" s="65"/>
      <c r="C391" s="66" t="str">
        <f>IFERROR(VLOOKUP(B391,Roster!$A$2:$B$5000,2,FALSE),"-")</f>
        <v>-</v>
      </c>
      <c r="D391" s="66"/>
    </row>
    <row r="392" spans="2:4">
      <c r="B392" s="65"/>
      <c r="C392" s="66" t="str">
        <f>IFERROR(VLOOKUP(B392,Roster!$A$2:$B$5000,2,FALSE),"-")</f>
        <v>-</v>
      </c>
      <c r="D392" s="66"/>
    </row>
    <row r="393" spans="2:4">
      <c r="B393" s="65"/>
      <c r="C393" s="66" t="str">
        <f>IFERROR(VLOOKUP(B393,Roster!$A$2:$B$5000,2,FALSE),"-")</f>
        <v>-</v>
      </c>
      <c r="D393" s="66"/>
    </row>
    <row r="394" spans="2:4">
      <c r="B394" s="65"/>
      <c r="C394" s="66" t="str">
        <f>IFERROR(VLOOKUP(B394,Roster!$A$2:$B$5000,2,FALSE),"-")</f>
        <v>-</v>
      </c>
      <c r="D394" s="66"/>
    </row>
    <row r="395" spans="2:4">
      <c r="B395" s="65"/>
      <c r="C395" s="66" t="str">
        <f>IFERROR(VLOOKUP(B395,Roster!$A$2:$B$5000,2,FALSE),"-")</f>
        <v>-</v>
      </c>
      <c r="D395" s="66"/>
    </row>
    <row r="396" spans="2:4">
      <c r="B396" s="65"/>
      <c r="C396" s="66" t="str">
        <f>IFERROR(VLOOKUP(B396,Roster!$A$2:$B$5000,2,FALSE),"-")</f>
        <v>-</v>
      </c>
      <c r="D396" s="66"/>
    </row>
    <row r="397" spans="2:4">
      <c r="B397" s="65"/>
      <c r="C397" s="66" t="str">
        <f>IFERROR(VLOOKUP(B397,Roster!$A$2:$B$5000,2,FALSE),"-")</f>
        <v>-</v>
      </c>
      <c r="D397" s="66"/>
    </row>
    <row r="398" spans="2:4">
      <c r="B398" s="65"/>
      <c r="C398" s="66" t="str">
        <f>IFERROR(VLOOKUP(B398,Roster!$A$2:$B$5000,2,FALSE),"-")</f>
        <v>-</v>
      </c>
      <c r="D398" s="66"/>
    </row>
    <row r="399" spans="2:4">
      <c r="B399" s="65"/>
      <c r="C399" s="66" t="str">
        <f>IFERROR(VLOOKUP(B399,Roster!$A$2:$B$5000,2,FALSE),"-")</f>
        <v>-</v>
      </c>
      <c r="D399" s="66"/>
    </row>
    <row r="400" spans="2:4">
      <c r="B400" s="65"/>
      <c r="C400" s="66" t="str">
        <f>IFERROR(VLOOKUP(B400,Roster!$A$2:$B$5000,2,FALSE),"-")</f>
        <v>-</v>
      </c>
      <c r="D400" s="66"/>
    </row>
    <row r="401" spans="2:4">
      <c r="B401" s="65"/>
      <c r="C401" s="66" t="str">
        <f>IFERROR(VLOOKUP(B401,Roster!$A$2:$B$5000,2,FALSE),"-")</f>
        <v>-</v>
      </c>
      <c r="D401" s="66"/>
    </row>
    <row r="402" spans="2:4">
      <c r="B402" s="65"/>
      <c r="C402" s="66" t="str">
        <f>IFERROR(VLOOKUP(B402,Roster!$A$2:$B$5000,2,FALSE),"-")</f>
        <v>-</v>
      </c>
      <c r="D402" s="66"/>
    </row>
    <row r="403" spans="2:4">
      <c r="B403" s="65"/>
      <c r="C403" s="66" t="str">
        <f>IFERROR(VLOOKUP(B403,Roster!$A$2:$B$5000,2,FALSE),"-")</f>
        <v>-</v>
      </c>
      <c r="D403" s="66"/>
    </row>
    <row r="404" spans="2:4">
      <c r="B404" s="65"/>
      <c r="C404" s="66" t="str">
        <f>IFERROR(VLOOKUP(B404,Roster!$A$2:$B$5000,2,FALSE),"-")</f>
        <v>-</v>
      </c>
      <c r="D404" s="66"/>
    </row>
    <row r="405" spans="2:4">
      <c r="B405" s="65"/>
      <c r="C405" s="66" t="str">
        <f>IFERROR(VLOOKUP(B405,Roster!$A$2:$B$5000,2,FALSE),"-")</f>
        <v>-</v>
      </c>
      <c r="D405" s="66"/>
    </row>
    <row r="406" spans="2:4">
      <c r="B406" s="65"/>
      <c r="C406" s="66" t="str">
        <f>IFERROR(VLOOKUP(B406,Roster!$A$2:$B$5000,2,FALSE),"-")</f>
        <v>-</v>
      </c>
      <c r="D406" s="66"/>
    </row>
    <row r="407" spans="2:4">
      <c r="B407" s="65"/>
      <c r="C407" s="66" t="str">
        <f>IFERROR(VLOOKUP(B407,Roster!$A$2:$B$5000,2,FALSE),"-")</f>
        <v>-</v>
      </c>
      <c r="D407" s="66"/>
    </row>
    <row r="408" spans="2:4">
      <c r="B408" s="65"/>
      <c r="C408" s="66" t="str">
        <f>IFERROR(VLOOKUP(B408,Roster!$A$2:$B$5000,2,FALSE),"-")</f>
        <v>-</v>
      </c>
      <c r="D408" s="66"/>
    </row>
    <row r="409" spans="2:4">
      <c r="B409" s="65"/>
      <c r="C409" s="66" t="str">
        <f>IFERROR(VLOOKUP(B409,Roster!$A$2:$B$5000,2,FALSE),"-")</f>
        <v>-</v>
      </c>
      <c r="D409" s="66"/>
    </row>
    <row r="410" spans="2:4">
      <c r="B410" s="65"/>
      <c r="C410" s="66" t="str">
        <f>IFERROR(VLOOKUP(B410,Roster!$A$2:$B$5000,2,FALSE),"-")</f>
        <v>-</v>
      </c>
      <c r="D410" s="66"/>
    </row>
    <row r="411" spans="2:4">
      <c r="B411" s="65"/>
      <c r="C411" s="66" t="str">
        <f>IFERROR(VLOOKUP(B411,Roster!$A$2:$B$5000,2,FALSE),"-")</f>
        <v>-</v>
      </c>
      <c r="D411" s="66"/>
    </row>
    <row r="412" spans="2:4">
      <c r="B412" s="65"/>
      <c r="C412" s="66" t="str">
        <f>IFERROR(VLOOKUP(B412,Roster!$A$2:$B$5000,2,FALSE),"-")</f>
        <v>-</v>
      </c>
      <c r="D412" s="66"/>
    </row>
    <row r="413" spans="2:4">
      <c r="B413" s="65"/>
      <c r="C413" s="66" t="str">
        <f>IFERROR(VLOOKUP(B413,Roster!$A$2:$B$5000,2,FALSE),"-")</f>
        <v>-</v>
      </c>
      <c r="D413" s="66"/>
    </row>
    <row r="414" spans="2:4">
      <c r="B414" s="65"/>
      <c r="C414" s="66" t="str">
        <f>IFERROR(VLOOKUP(B414,Roster!$A$2:$B$5000,2,FALSE),"-")</f>
        <v>-</v>
      </c>
      <c r="D414" s="66"/>
    </row>
    <row r="415" spans="2:4">
      <c r="B415" s="65"/>
      <c r="C415" s="66" t="str">
        <f>IFERROR(VLOOKUP(B415,Roster!$A$2:$B$5000,2,FALSE),"-")</f>
        <v>-</v>
      </c>
      <c r="D415" s="66"/>
    </row>
    <row r="416" spans="2:4">
      <c r="B416" s="65"/>
      <c r="C416" s="66" t="str">
        <f>IFERROR(VLOOKUP(B416,Roster!$A$2:$B$5000,2,FALSE),"-")</f>
        <v>-</v>
      </c>
      <c r="D416" s="66"/>
    </row>
    <row r="417" spans="2:4">
      <c r="B417" s="65"/>
      <c r="C417" s="66" t="str">
        <f>IFERROR(VLOOKUP(B417,Roster!$A$2:$B$5000,2,FALSE),"-")</f>
        <v>-</v>
      </c>
      <c r="D417" s="66"/>
    </row>
    <row r="418" spans="2:4">
      <c r="B418" s="65"/>
      <c r="C418" s="66" t="str">
        <f>IFERROR(VLOOKUP(B418,Roster!$A$2:$B$5000,2,FALSE),"-")</f>
        <v>-</v>
      </c>
      <c r="D418" s="66"/>
    </row>
    <row r="419" spans="2:4">
      <c r="B419" s="65"/>
      <c r="C419" s="66" t="str">
        <f>IFERROR(VLOOKUP(B419,Roster!$A$2:$B$5000,2,FALSE),"-")</f>
        <v>-</v>
      </c>
      <c r="D419" s="66"/>
    </row>
    <row r="420" spans="2:4">
      <c r="B420" s="65"/>
      <c r="C420" s="66" t="str">
        <f>IFERROR(VLOOKUP(B420,Roster!$A$2:$B$5000,2,FALSE),"-")</f>
        <v>-</v>
      </c>
      <c r="D420" s="66"/>
    </row>
    <row r="421" spans="2:4">
      <c r="B421" s="65"/>
      <c r="C421" s="66" t="str">
        <f>IFERROR(VLOOKUP(B421,Roster!$A$2:$B$5000,2,FALSE),"-")</f>
        <v>-</v>
      </c>
      <c r="D421" s="66"/>
    </row>
    <row r="422" spans="2:4">
      <c r="B422" s="65"/>
      <c r="C422" s="66" t="str">
        <f>IFERROR(VLOOKUP(B422,Roster!$A$2:$B$5000,2,FALSE),"-")</f>
        <v>-</v>
      </c>
      <c r="D422" s="66"/>
    </row>
    <row r="423" spans="2:4">
      <c r="B423" s="65"/>
      <c r="C423" s="66" t="str">
        <f>IFERROR(VLOOKUP(B423,Roster!$A$2:$B$5000,2,FALSE),"-")</f>
        <v>-</v>
      </c>
      <c r="D423" s="66"/>
    </row>
    <row r="424" spans="2:4">
      <c r="B424" s="65"/>
      <c r="C424" s="66" t="str">
        <f>IFERROR(VLOOKUP(B424,Roster!$A$2:$B$5000,2,FALSE),"-")</f>
        <v>-</v>
      </c>
      <c r="D424" s="66"/>
    </row>
    <row r="425" spans="2:4">
      <c r="B425" s="65"/>
      <c r="C425" s="66" t="str">
        <f>IFERROR(VLOOKUP(B425,Roster!$A$2:$B$5000,2,FALSE),"-")</f>
        <v>-</v>
      </c>
      <c r="D425" s="66"/>
    </row>
    <row r="426" spans="2:4">
      <c r="B426" s="65"/>
      <c r="C426" s="66" t="str">
        <f>IFERROR(VLOOKUP(B426,Roster!$A$2:$B$5000,2,FALSE),"-")</f>
        <v>-</v>
      </c>
      <c r="D426" s="66"/>
    </row>
    <row r="427" spans="2:4">
      <c r="B427" s="65"/>
      <c r="C427" s="66" t="str">
        <f>IFERROR(VLOOKUP(B427,Roster!$A$2:$B$5000,2,FALSE),"-")</f>
        <v>-</v>
      </c>
      <c r="D427" s="66"/>
    </row>
    <row r="428" spans="2:4">
      <c r="B428" s="65"/>
      <c r="C428" s="66" t="str">
        <f>IFERROR(VLOOKUP(B428,Roster!$A$2:$B$5000,2,FALSE),"-")</f>
        <v>-</v>
      </c>
      <c r="D428" s="66"/>
    </row>
    <row r="429" spans="2:4">
      <c r="B429" s="65"/>
      <c r="C429" s="66" t="str">
        <f>IFERROR(VLOOKUP(B429,Roster!$A$2:$B$5000,2,FALSE),"-")</f>
        <v>-</v>
      </c>
      <c r="D429" s="66"/>
    </row>
    <row r="430" spans="2:4">
      <c r="B430" s="65"/>
      <c r="C430" s="66" t="str">
        <f>IFERROR(VLOOKUP(B430,Roster!$A$2:$B$5000,2,FALSE),"-")</f>
        <v>-</v>
      </c>
      <c r="D430" s="66"/>
    </row>
    <row r="431" spans="2:4">
      <c r="B431" s="65"/>
      <c r="C431" s="66" t="str">
        <f>IFERROR(VLOOKUP(B431,Roster!$A$2:$B$5000,2,FALSE),"-")</f>
        <v>-</v>
      </c>
      <c r="D431" s="66"/>
    </row>
    <row r="432" spans="2:4">
      <c r="B432" s="65"/>
      <c r="C432" s="66" t="str">
        <f>IFERROR(VLOOKUP(B432,Roster!$A$2:$B$5000,2,FALSE),"-")</f>
        <v>-</v>
      </c>
      <c r="D432" s="66"/>
    </row>
    <row r="433" spans="2:4">
      <c r="B433" s="65"/>
      <c r="C433" s="66" t="str">
        <f>IFERROR(VLOOKUP(B433,Roster!$A$2:$B$5000,2,FALSE),"-")</f>
        <v>-</v>
      </c>
      <c r="D433" s="66"/>
    </row>
    <row r="434" spans="2:4">
      <c r="B434" s="65"/>
      <c r="C434" s="66" t="str">
        <f>IFERROR(VLOOKUP(B434,Roster!$A$2:$B$5000,2,FALSE),"-")</f>
        <v>-</v>
      </c>
      <c r="D434" s="66"/>
    </row>
    <row r="435" spans="2:4">
      <c r="B435" s="65"/>
      <c r="C435" s="66" t="str">
        <f>IFERROR(VLOOKUP(B435,Roster!$A$2:$B$5000,2,FALSE),"-")</f>
        <v>-</v>
      </c>
      <c r="D435" s="66"/>
    </row>
    <row r="436" spans="2:4">
      <c r="B436" s="65"/>
      <c r="C436" s="66" t="str">
        <f>IFERROR(VLOOKUP(B436,Roster!$A$2:$B$5000,2,FALSE),"-")</f>
        <v>-</v>
      </c>
      <c r="D436" s="66"/>
    </row>
    <row r="437" spans="2:4">
      <c r="B437" s="65"/>
      <c r="C437" s="66" t="str">
        <f>IFERROR(VLOOKUP(B437,Roster!$A$2:$B$5000,2,FALSE),"-")</f>
        <v>-</v>
      </c>
      <c r="D437" s="66"/>
    </row>
    <row r="438" spans="2:4">
      <c r="B438" s="65"/>
      <c r="C438" s="66" t="str">
        <f>IFERROR(VLOOKUP(B438,Roster!$A$2:$B$5000,2,FALSE),"-")</f>
        <v>-</v>
      </c>
      <c r="D438" s="66"/>
    </row>
    <row r="439" spans="2:4">
      <c r="B439" s="65"/>
      <c r="C439" s="66" t="str">
        <f>IFERROR(VLOOKUP(B439,Roster!$A$2:$B$5000,2,FALSE),"-")</f>
        <v>-</v>
      </c>
      <c r="D439" s="66"/>
    </row>
    <row r="440" spans="2:4">
      <c r="B440" s="65"/>
      <c r="C440" s="66" t="str">
        <f>IFERROR(VLOOKUP(B440,Roster!$A$2:$B$5000,2,FALSE),"-")</f>
        <v>-</v>
      </c>
      <c r="D440" s="66"/>
    </row>
    <row r="441" spans="2:4">
      <c r="B441" s="65"/>
      <c r="C441" s="66" t="str">
        <f>IFERROR(VLOOKUP(B441,Roster!$A$2:$B$5000,2,FALSE),"-")</f>
        <v>-</v>
      </c>
      <c r="D441" s="66"/>
    </row>
    <row r="442" spans="2:4">
      <c r="B442" s="65"/>
      <c r="C442" s="66" t="str">
        <f>IFERROR(VLOOKUP(B442,Roster!$A$2:$B$5000,2,FALSE),"-")</f>
        <v>-</v>
      </c>
      <c r="D442" s="66"/>
    </row>
    <row r="443" spans="2:4">
      <c r="B443" s="65"/>
      <c r="C443" s="66" t="str">
        <f>IFERROR(VLOOKUP(B443,Roster!$A$2:$B$5000,2,FALSE),"-")</f>
        <v>-</v>
      </c>
      <c r="D443" s="66"/>
    </row>
    <row r="444" spans="2:4">
      <c r="B444" s="65"/>
      <c r="C444" s="66" t="str">
        <f>IFERROR(VLOOKUP(B444,Roster!$A$2:$B$5000,2,FALSE),"-")</f>
        <v>-</v>
      </c>
      <c r="D444" s="66"/>
    </row>
    <row r="445" spans="2:4">
      <c r="B445" s="65"/>
      <c r="C445" s="66" t="str">
        <f>IFERROR(VLOOKUP(B445,Roster!$A$2:$B$5000,2,FALSE),"-")</f>
        <v>-</v>
      </c>
      <c r="D445" s="66"/>
    </row>
    <row r="446" spans="2:4">
      <c r="B446" s="65"/>
      <c r="C446" s="66" t="str">
        <f>IFERROR(VLOOKUP(B446,Roster!$A$2:$B$5000,2,FALSE),"-")</f>
        <v>-</v>
      </c>
      <c r="D446" s="66"/>
    </row>
    <row r="447" spans="2:4">
      <c r="B447" s="65"/>
      <c r="C447" s="66" t="str">
        <f>IFERROR(VLOOKUP(B447,Roster!$A$2:$B$5000,2,FALSE),"-")</f>
        <v>-</v>
      </c>
      <c r="D447" s="66"/>
    </row>
    <row r="448" spans="2:4">
      <c r="B448" s="65"/>
      <c r="C448" s="66" t="str">
        <f>IFERROR(VLOOKUP(B448,Roster!$A$2:$B$5000,2,FALSE),"-")</f>
        <v>-</v>
      </c>
      <c r="D448" s="66"/>
    </row>
    <row r="449" spans="2:4">
      <c r="B449" s="65"/>
      <c r="C449" s="66" t="str">
        <f>IFERROR(VLOOKUP(B449,Roster!$A$2:$B$5000,2,FALSE),"-")</f>
        <v>-</v>
      </c>
      <c r="D449" s="66"/>
    </row>
    <row r="450" spans="2:4">
      <c r="B450" s="65"/>
      <c r="C450" s="66" t="str">
        <f>IFERROR(VLOOKUP(B450,Roster!$A$2:$B$5000,2,FALSE),"-")</f>
        <v>-</v>
      </c>
      <c r="D450" s="66"/>
    </row>
    <row r="451" spans="2:4">
      <c r="B451" s="65"/>
      <c r="C451" s="66" t="str">
        <f>IFERROR(VLOOKUP(B451,Roster!$A$2:$B$5000,2,FALSE),"-")</f>
        <v>-</v>
      </c>
      <c r="D451" s="66"/>
    </row>
    <row r="452" spans="2:4">
      <c r="B452" s="65"/>
      <c r="C452" s="66" t="str">
        <f>IFERROR(VLOOKUP(B452,Roster!$A$2:$B$5000,2,FALSE),"-")</f>
        <v>-</v>
      </c>
      <c r="D452" s="66"/>
    </row>
    <row r="453" spans="2:4">
      <c r="B453" s="65"/>
      <c r="C453" s="66" t="str">
        <f>IFERROR(VLOOKUP(B453,Roster!$A$2:$B$5000,2,FALSE),"-")</f>
        <v>-</v>
      </c>
      <c r="D453" s="66"/>
    </row>
    <row r="454" spans="2:4">
      <c r="B454" s="65"/>
      <c r="C454" s="66" t="str">
        <f>IFERROR(VLOOKUP(B454,Roster!$A$2:$B$5000,2,FALSE),"-")</f>
        <v>-</v>
      </c>
      <c r="D454" s="66"/>
    </row>
    <row r="455" spans="2:4">
      <c r="B455" s="65"/>
      <c r="C455" s="66" t="str">
        <f>IFERROR(VLOOKUP(B455,Roster!$A$2:$B$5000,2,FALSE),"-")</f>
        <v>-</v>
      </c>
      <c r="D455" s="66"/>
    </row>
    <row r="456" spans="2:4">
      <c r="B456" s="65"/>
      <c r="C456" s="66" t="str">
        <f>IFERROR(VLOOKUP(B456,Roster!$A$2:$B$5000,2,FALSE),"-")</f>
        <v>-</v>
      </c>
      <c r="D456" s="66"/>
    </row>
    <row r="457" spans="2:4">
      <c r="B457" s="65"/>
      <c r="C457" s="66" t="str">
        <f>IFERROR(VLOOKUP(B457,Roster!$A$2:$B$5000,2,FALSE),"-")</f>
        <v>-</v>
      </c>
      <c r="D457" s="66"/>
    </row>
    <row r="458" spans="2:4">
      <c r="B458" s="65"/>
      <c r="C458" s="66" t="str">
        <f>IFERROR(VLOOKUP(B458,Roster!$A$2:$B$5000,2,FALSE),"-")</f>
        <v>-</v>
      </c>
      <c r="D458" s="66"/>
    </row>
    <row r="459" spans="2:4">
      <c r="B459" s="65"/>
      <c r="C459" s="66" t="str">
        <f>IFERROR(VLOOKUP(B459,Roster!$A$2:$B$5000,2,FALSE),"-")</f>
        <v>-</v>
      </c>
      <c r="D459" s="66"/>
    </row>
    <row r="460" spans="2:4">
      <c r="B460" s="65"/>
      <c r="C460" s="66" t="str">
        <f>IFERROR(VLOOKUP(B460,Roster!$A$2:$B$5000,2,FALSE),"-")</f>
        <v>-</v>
      </c>
      <c r="D460" s="66"/>
    </row>
    <row r="461" spans="2:4">
      <c r="B461" s="65"/>
      <c r="C461" s="66" t="str">
        <f>IFERROR(VLOOKUP(B461,Roster!$A$2:$B$5000,2,FALSE),"-")</f>
        <v>-</v>
      </c>
      <c r="D461" s="66"/>
    </row>
    <row r="462" spans="2:4">
      <c r="B462" s="65"/>
      <c r="C462" s="66" t="str">
        <f>IFERROR(VLOOKUP(B462,Roster!$A$2:$B$5000,2,FALSE),"-")</f>
        <v>-</v>
      </c>
      <c r="D462" s="66"/>
    </row>
    <row r="463" spans="2:4">
      <c r="B463" s="65"/>
      <c r="C463" s="66" t="str">
        <f>IFERROR(VLOOKUP(B463,Roster!$A$2:$B$5000,2,FALSE),"-")</f>
        <v>-</v>
      </c>
      <c r="D463" s="66"/>
    </row>
    <row r="464" spans="2:4">
      <c r="B464" s="65"/>
      <c r="C464" s="66" t="str">
        <f>IFERROR(VLOOKUP(B464,Roster!$A$2:$B$5000,2,FALSE),"-")</f>
        <v>-</v>
      </c>
      <c r="D464" s="66"/>
    </row>
    <row r="465" spans="2:4">
      <c r="B465" s="65"/>
      <c r="C465" s="66" t="str">
        <f>IFERROR(VLOOKUP(B465,Roster!$A$2:$B$5000,2,FALSE),"-")</f>
        <v>-</v>
      </c>
      <c r="D465" s="66"/>
    </row>
    <row r="466" spans="2:4">
      <c r="B466" s="65"/>
      <c r="C466" s="66" t="str">
        <f>IFERROR(VLOOKUP(B466,Roster!$A$2:$B$5000,2,FALSE),"-")</f>
        <v>-</v>
      </c>
      <c r="D466" s="66"/>
    </row>
    <row r="467" spans="2:4">
      <c r="B467" s="65"/>
      <c r="C467" s="66" t="str">
        <f>IFERROR(VLOOKUP(B467,Roster!$A$2:$B$5000,2,FALSE),"-")</f>
        <v>-</v>
      </c>
      <c r="D467" s="66"/>
    </row>
    <row r="468" spans="2:4">
      <c r="B468" s="65"/>
      <c r="C468" s="66" t="str">
        <f>IFERROR(VLOOKUP(B468,Roster!$A$2:$B$5000,2,FALSE),"-")</f>
        <v>-</v>
      </c>
      <c r="D468" s="66"/>
    </row>
    <row r="469" spans="2:4">
      <c r="B469" s="65"/>
      <c r="C469" s="66" t="str">
        <f>IFERROR(VLOOKUP(B469,Roster!$A$2:$B$5000,2,FALSE),"-")</f>
        <v>-</v>
      </c>
      <c r="D469" s="66"/>
    </row>
    <row r="470" spans="2:4">
      <c r="B470" s="65"/>
      <c r="C470" s="66" t="str">
        <f>IFERROR(VLOOKUP(B470,Roster!$A$2:$B$5000,2,FALSE),"-")</f>
        <v>-</v>
      </c>
      <c r="D470" s="66"/>
    </row>
    <row r="471" spans="2:4">
      <c r="B471" s="65"/>
      <c r="C471" s="66" t="str">
        <f>IFERROR(VLOOKUP(B471,Roster!$A$2:$B$5000,2,FALSE),"-")</f>
        <v>-</v>
      </c>
      <c r="D471" s="66"/>
    </row>
    <row r="472" spans="2:4">
      <c r="B472" s="65"/>
      <c r="C472" s="66" t="str">
        <f>IFERROR(VLOOKUP(B472,Roster!$A$2:$B$5000,2,FALSE),"-")</f>
        <v>-</v>
      </c>
      <c r="D472" s="66"/>
    </row>
    <row r="473" spans="2:4">
      <c r="B473" s="65"/>
      <c r="C473" s="66" t="str">
        <f>IFERROR(VLOOKUP(B473,Roster!$A$2:$B$5000,2,FALSE),"-")</f>
        <v>-</v>
      </c>
      <c r="D473" s="66"/>
    </row>
    <row r="474" spans="2:4">
      <c r="B474" s="65"/>
      <c r="C474" s="66" t="str">
        <f>IFERROR(VLOOKUP(B474,Roster!$A$2:$B$5000,2,FALSE),"-")</f>
        <v>-</v>
      </c>
      <c r="D474" s="66"/>
    </row>
    <row r="475" spans="2:4">
      <c r="B475" s="65"/>
      <c r="C475" s="66" t="str">
        <f>IFERROR(VLOOKUP(B475,Roster!$A$2:$B$5000,2,FALSE),"-")</f>
        <v>-</v>
      </c>
      <c r="D475" s="66"/>
    </row>
    <row r="476" spans="2:4">
      <c r="B476" s="65"/>
      <c r="C476" s="66" t="str">
        <f>IFERROR(VLOOKUP(B476,Roster!$A$2:$B$5000,2,FALSE),"-")</f>
        <v>-</v>
      </c>
      <c r="D476" s="66"/>
    </row>
    <row r="477" spans="2:4">
      <c r="B477" s="65"/>
      <c r="C477" s="66" t="str">
        <f>IFERROR(VLOOKUP(B477,Roster!$A$2:$B$5000,2,FALSE),"-")</f>
        <v>-</v>
      </c>
      <c r="D477" s="66"/>
    </row>
    <row r="478" spans="2:4">
      <c r="B478" s="65"/>
      <c r="C478" s="66" t="str">
        <f>IFERROR(VLOOKUP(B478,Roster!$A$2:$B$5000,2,FALSE),"-")</f>
        <v>-</v>
      </c>
      <c r="D478" s="66"/>
    </row>
    <row r="479" spans="2:4">
      <c r="B479" s="65"/>
      <c r="C479" s="66" t="str">
        <f>IFERROR(VLOOKUP(B479,Roster!$A$2:$B$5000,2,FALSE),"-")</f>
        <v>-</v>
      </c>
      <c r="D479" s="66"/>
    </row>
    <row r="480" spans="2:4">
      <c r="B480" s="65"/>
      <c r="C480" s="66" t="str">
        <f>IFERROR(VLOOKUP(B480,Roster!$A$2:$B$5000,2,FALSE),"-")</f>
        <v>-</v>
      </c>
      <c r="D480" s="66"/>
    </row>
    <row r="481" spans="2:4">
      <c r="B481" s="65"/>
      <c r="C481" s="66" t="str">
        <f>IFERROR(VLOOKUP(B481,Roster!$A$2:$B$5000,2,FALSE),"-")</f>
        <v>-</v>
      </c>
      <c r="D481" s="66"/>
    </row>
    <row r="482" spans="2:4">
      <c r="B482" s="65"/>
      <c r="C482" s="66" t="str">
        <f>IFERROR(VLOOKUP(B482,Roster!$A$2:$B$5000,2,FALSE),"-")</f>
        <v>-</v>
      </c>
      <c r="D482" s="66"/>
    </row>
    <row r="483" spans="2:4">
      <c r="B483" s="65"/>
      <c r="C483" s="66" t="str">
        <f>IFERROR(VLOOKUP(B483,Roster!$A$2:$B$5000,2,FALSE),"-")</f>
        <v>-</v>
      </c>
      <c r="D483" s="66"/>
    </row>
    <row r="484" spans="2:4">
      <c r="B484" s="65"/>
      <c r="C484" s="66" t="str">
        <f>IFERROR(VLOOKUP(B484,Roster!$A$2:$B$5000,2,FALSE),"-")</f>
        <v>-</v>
      </c>
      <c r="D484" s="66"/>
    </row>
    <row r="485" spans="2:4">
      <c r="B485" s="65"/>
      <c r="C485" s="66" t="str">
        <f>IFERROR(VLOOKUP(B485,Roster!$A$2:$B$5000,2,FALSE),"-")</f>
        <v>-</v>
      </c>
      <c r="D485" s="66"/>
    </row>
    <row r="486" spans="2:4">
      <c r="B486" s="65"/>
      <c r="C486" s="66" t="str">
        <f>IFERROR(VLOOKUP(B486,Roster!$A$2:$B$5000,2,FALSE),"-")</f>
        <v>-</v>
      </c>
      <c r="D486" s="66"/>
    </row>
    <row r="487" spans="2:4">
      <c r="B487" s="65"/>
      <c r="C487" s="66" t="str">
        <f>IFERROR(VLOOKUP(B487,Roster!$A$2:$B$5000,2,FALSE),"-")</f>
        <v>-</v>
      </c>
      <c r="D487" s="66"/>
    </row>
    <row r="488" spans="2:4">
      <c r="B488" s="65"/>
      <c r="C488" s="66" t="str">
        <f>IFERROR(VLOOKUP(B488,Roster!$A$2:$B$5000,2,FALSE),"-")</f>
        <v>-</v>
      </c>
      <c r="D488" s="66"/>
    </row>
    <row r="489" spans="2:4">
      <c r="B489" s="65"/>
      <c r="C489" s="66" t="str">
        <f>IFERROR(VLOOKUP(B489,Roster!$A$2:$B$5000,2,FALSE),"-")</f>
        <v>-</v>
      </c>
      <c r="D489" s="66"/>
    </row>
    <row r="490" spans="2:4">
      <c r="B490" s="65"/>
      <c r="C490" s="66" t="str">
        <f>IFERROR(VLOOKUP(B490,Roster!$A$2:$B$5000,2,FALSE),"-")</f>
        <v>-</v>
      </c>
      <c r="D490" s="66"/>
    </row>
    <row r="491" spans="2:4">
      <c r="B491" s="65"/>
      <c r="C491" s="66" t="str">
        <f>IFERROR(VLOOKUP(B491,Roster!$A$2:$B$5000,2,FALSE),"-")</f>
        <v>-</v>
      </c>
      <c r="D491" s="66"/>
    </row>
    <row r="492" spans="2:4">
      <c r="B492" s="65"/>
      <c r="C492" s="66" t="str">
        <f>IFERROR(VLOOKUP(B492,Roster!$A$2:$B$5000,2,FALSE),"-")</f>
        <v>-</v>
      </c>
      <c r="D492" s="66"/>
    </row>
    <row r="493" spans="2:4">
      <c r="B493" s="65"/>
      <c r="C493" s="66" t="str">
        <f>IFERROR(VLOOKUP(B493,Roster!$A$2:$B$5000,2,FALSE),"-")</f>
        <v>-</v>
      </c>
      <c r="D493" s="66"/>
    </row>
    <row r="494" spans="2:4">
      <c r="B494" s="65"/>
      <c r="C494" s="66" t="str">
        <f>IFERROR(VLOOKUP(B494,Roster!$A$2:$B$5000,2,FALSE),"-")</f>
        <v>-</v>
      </c>
      <c r="D494" s="66"/>
    </row>
    <row r="495" spans="2:4">
      <c r="B495" s="65"/>
      <c r="C495" s="66" t="str">
        <f>IFERROR(VLOOKUP(B495,Roster!$A$2:$B$5000,2,FALSE),"-")</f>
        <v>-</v>
      </c>
      <c r="D495" s="66"/>
    </row>
    <row r="496" spans="2:4">
      <c r="B496" s="65"/>
      <c r="C496" s="66" t="str">
        <f>IFERROR(VLOOKUP(B496,Roster!$A$2:$B$5000,2,FALSE),"-")</f>
        <v>-</v>
      </c>
      <c r="D496" s="66"/>
    </row>
    <row r="497" spans="2:4">
      <c r="B497" s="65"/>
      <c r="C497" s="66" t="str">
        <f>IFERROR(VLOOKUP(B497,Roster!$A$2:$B$5000,2,FALSE),"-")</f>
        <v>-</v>
      </c>
      <c r="D497" s="66"/>
    </row>
    <row r="498" spans="2:4">
      <c r="B498" s="65"/>
      <c r="C498" s="66" t="str">
        <f>IFERROR(VLOOKUP(B498,Roster!$A$2:$B$5000,2,FALSE),"-")</f>
        <v>-</v>
      </c>
      <c r="D498" s="66"/>
    </row>
    <row r="499" spans="2:4">
      <c r="B499" s="65"/>
      <c r="C499" s="66" t="str">
        <f>IFERROR(VLOOKUP(B499,Roster!$A$2:$B$5000,2,FALSE),"-")</f>
        <v>-</v>
      </c>
      <c r="D499" s="66"/>
    </row>
    <row r="500" spans="2:4">
      <c r="B500" s="65"/>
      <c r="C500" s="66" t="str">
        <f>IFERROR(VLOOKUP(B500,Roster!$A$2:$B$5000,2,FALSE),"-")</f>
        <v>-</v>
      </c>
      <c r="D500" s="66"/>
    </row>
    <row r="501" spans="2:4">
      <c r="B501" s="65"/>
      <c r="C501" s="66" t="str">
        <f>IFERROR(VLOOKUP(B501,Roster!$A$2:$B$5000,2,FALSE),"-")</f>
        <v>-</v>
      </c>
      <c r="D501" s="66"/>
    </row>
    <row r="502" spans="2:4">
      <c r="B502" s="65"/>
      <c r="C502" s="66" t="str">
        <f>IFERROR(VLOOKUP(B502,Roster!$A$2:$B$5000,2,FALSE),"-")</f>
        <v>-</v>
      </c>
      <c r="D502" s="66"/>
    </row>
    <row r="503" spans="2:4">
      <c r="B503" s="65"/>
      <c r="C503" s="66" t="str">
        <f>IFERROR(VLOOKUP(B503,Roster!$A$2:$B$5000,2,FALSE),"-")</f>
        <v>-</v>
      </c>
      <c r="D503" s="66"/>
    </row>
    <row r="504" spans="2:4">
      <c r="B504" s="65"/>
      <c r="C504" s="66" t="str">
        <f>IFERROR(VLOOKUP(B504,Roster!$A$2:$B$5000,2,FALSE),"-")</f>
        <v>-</v>
      </c>
      <c r="D504" s="66"/>
    </row>
    <row r="505" spans="2:4">
      <c r="B505" s="65"/>
      <c r="C505" s="66" t="str">
        <f>IFERROR(VLOOKUP(B505,Roster!$A$2:$B$5000,2,FALSE),"-")</f>
        <v>-</v>
      </c>
      <c r="D505" s="66"/>
    </row>
    <row r="506" spans="2:4">
      <c r="B506" s="65"/>
      <c r="C506" s="66" t="str">
        <f>IFERROR(VLOOKUP(B506,Roster!$A$2:$B$5000,2,FALSE),"-")</f>
        <v>-</v>
      </c>
      <c r="D506" s="66"/>
    </row>
    <row r="507" spans="2:4">
      <c r="B507" s="65"/>
      <c r="C507" s="66" t="str">
        <f>IFERROR(VLOOKUP(B507,Roster!$A$2:$B$5000,2,FALSE),"-")</f>
        <v>-</v>
      </c>
      <c r="D507" s="66"/>
    </row>
    <row r="508" spans="2:4">
      <c r="B508" s="65"/>
      <c r="C508" s="66" t="str">
        <f>IFERROR(VLOOKUP(B508,Roster!$A$2:$B$5000,2,FALSE),"-")</f>
        <v>-</v>
      </c>
      <c r="D508" s="66"/>
    </row>
    <row r="509" spans="2:4">
      <c r="B509" s="65"/>
      <c r="C509" s="66" t="str">
        <f>IFERROR(VLOOKUP(B509,Roster!$A$2:$B$5000,2,FALSE),"-")</f>
        <v>-</v>
      </c>
      <c r="D509" s="66"/>
    </row>
    <row r="510" spans="2:4">
      <c r="B510" s="65"/>
      <c r="C510" s="66" t="str">
        <f>IFERROR(VLOOKUP(B510,Roster!$A$2:$B$5000,2,FALSE),"-")</f>
        <v>-</v>
      </c>
      <c r="D510" s="66"/>
    </row>
    <row r="511" spans="2:4">
      <c r="B511" s="65"/>
      <c r="C511" s="66" t="str">
        <f>IFERROR(VLOOKUP(B511,Roster!$A$2:$B$5000,2,FALSE),"-")</f>
        <v>-</v>
      </c>
      <c r="D511" s="66"/>
    </row>
    <row r="512" spans="2:4">
      <c r="B512" s="65"/>
      <c r="C512" s="66" t="str">
        <f>IFERROR(VLOOKUP(B512,Roster!$A$2:$B$5000,2,FALSE),"-")</f>
        <v>-</v>
      </c>
      <c r="D512" s="66"/>
    </row>
    <row r="513" spans="2:4">
      <c r="B513" s="65"/>
      <c r="C513" s="66" t="str">
        <f>IFERROR(VLOOKUP(B513,Roster!$A$2:$B$5000,2,FALSE),"-")</f>
        <v>-</v>
      </c>
      <c r="D513" s="66"/>
    </row>
    <row r="514" spans="2:4">
      <c r="B514" s="65"/>
      <c r="C514" s="66" t="str">
        <f>IFERROR(VLOOKUP(B514,Roster!$A$2:$B$5000,2,FALSE),"-")</f>
        <v>-</v>
      </c>
      <c r="D514" s="66"/>
    </row>
    <row r="515" spans="2:4">
      <c r="B515" s="65"/>
      <c r="C515" s="66" t="str">
        <f>IFERROR(VLOOKUP(B515,Roster!$A$2:$B$5000,2,FALSE),"-")</f>
        <v>-</v>
      </c>
      <c r="D515" s="66"/>
    </row>
    <row r="516" spans="2:4">
      <c r="B516" s="65"/>
      <c r="C516" s="66" t="str">
        <f>IFERROR(VLOOKUP(B516,Roster!$A$2:$B$5000,2,FALSE),"-")</f>
        <v>-</v>
      </c>
      <c r="D516" s="66"/>
    </row>
    <row r="517" spans="2:4">
      <c r="B517" s="65"/>
      <c r="C517" s="66" t="str">
        <f>IFERROR(VLOOKUP(B517,Roster!$A$2:$B$5000,2,FALSE),"-")</f>
        <v>-</v>
      </c>
      <c r="D517" s="66"/>
    </row>
    <row r="518" spans="2:4">
      <c r="B518" s="65"/>
      <c r="C518" s="66" t="str">
        <f>IFERROR(VLOOKUP(B518,Roster!$A$2:$B$5000,2,FALSE),"-")</f>
        <v>-</v>
      </c>
      <c r="D518" s="66"/>
    </row>
    <row r="519" spans="2:4">
      <c r="B519" s="65"/>
      <c r="C519" s="66" t="str">
        <f>IFERROR(VLOOKUP(B519,Roster!$A$2:$B$5000,2,FALSE),"-")</f>
        <v>-</v>
      </c>
      <c r="D519" s="66"/>
    </row>
    <row r="520" spans="2:4">
      <c r="B520" s="65"/>
      <c r="C520" s="66" t="str">
        <f>IFERROR(VLOOKUP(B520,Roster!$A$2:$B$5000,2,FALSE),"-")</f>
        <v>-</v>
      </c>
      <c r="D520" s="66"/>
    </row>
    <row r="521" spans="2:4">
      <c r="B521" s="65"/>
      <c r="C521" s="66" t="str">
        <f>IFERROR(VLOOKUP(B521,Roster!$A$2:$B$5000,2,FALSE),"-")</f>
        <v>-</v>
      </c>
      <c r="D521" s="66"/>
    </row>
    <row r="522" spans="2:4">
      <c r="B522" s="65"/>
      <c r="C522" s="66" t="str">
        <f>IFERROR(VLOOKUP(B522,Roster!$A$2:$B$5000,2,FALSE),"-")</f>
        <v>-</v>
      </c>
      <c r="D522" s="66"/>
    </row>
    <row r="523" spans="2:4">
      <c r="B523" s="65"/>
      <c r="C523" s="66" t="str">
        <f>IFERROR(VLOOKUP(B523,Roster!$A$2:$B$5000,2,FALSE),"-")</f>
        <v>-</v>
      </c>
      <c r="D523" s="66"/>
    </row>
    <row r="524" spans="2:4">
      <c r="B524" s="65"/>
      <c r="C524" s="66" t="str">
        <f>IFERROR(VLOOKUP(B524,Roster!$A$2:$B$5000,2,FALSE),"-")</f>
        <v>-</v>
      </c>
      <c r="D524" s="66"/>
    </row>
    <row r="525" spans="2:4">
      <c r="B525" s="65"/>
      <c r="C525" s="66" t="str">
        <f>IFERROR(VLOOKUP(B525,Roster!$A$2:$B$5000,2,FALSE),"-")</f>
        <v>-</v>
      </c>
      <c r="D525" s="66"/>
    </row>
    <row r="526" spans="2:4">
      <c r="B526" s="65"/>
      <c r="C526" s="66" t="str">
        <f>IFERROR(VLOOKUP(B526,Roster!$A$2:$B$5000,2,FALSE),"-")</f>
        <v>-</v>
      </c>
      <c r="D526" s="66"/>
    </row>
    <row r="527" spans="2:4">
      <c r="B527" s="65"/>
      <c r="C527" s="66" t="str">
        <f>IFERROR(VLOOKUP(B527,Roster!$A$2:$B$5000,2,FALSE),"-")</f>
        <v>-</v>
      </c>
      <c r="D527" s="66"/>
    </row>
    <row r="528" spans="2:4">
      <c r="B528" s="65"/>
      <c r="C528" s="66" t="str">
        <f>IFERROR(VLOOKUP(B528,Roster!$A$2:$B$5000,2,FALSE),"-")</f>
        <v>-</v>
      </c>
      <c r="D528" s="66"/>
    </row>
    <row r="529" spans="2:4">
      <c r="B529" s="65"/>
      <c r="C529" s="66" t="str">
        <f>IFERROR(VLOOKUP(B529,Roster!$A$2:$B$5000,2,FALSE),"-")</f>
        <v>-</v>
      </c>
      <c r="D529" s="66"/>
    </row>
    <row r="530" spans="2:4">
      <c r="B530" s="65"/>
      <c r="C530" s="66" t="str">
        <f>IFERROR(VLOOKUP(B530,Roster!$A$2:$B$5000,2,FALSE),"-")</f>
        <v>-</v>
      </c>
      <c r="D530" s="66"/>
    </row>
    <row r="531" spans="2:4">
      <c r="B531" s="65"/>
      <c r="C531" s="66" t="str">
        <f>IFERROR(VLOOKUP(B531,Roster!$A$2:$B$5000,2,FALSE),"-")</f>
        <v>-</v>
      </c>
      <c r="D531" s="66"/>
    </row>
    <row r="532" spans="2:4">
      <c r="B532" s="65"/>
      <c r="C532" s="66" t="str">
        <f>IFERROR(VLOOKUP(B532,Roster!$A$2:$B$5000,2,FALSE),"-")</f>
        <v>-</v>
      </c>
      <c r="D532" s="66"/>
    </row>
    <row r="533" spans="2:4">
      <c r="B533" s="65"/>
      <c r="C533" s="66" t="str">
        <f>IFERROR(VLOOKUP(B533,Roster!$A$2:$B$5000,2,FALSE),"-")</f>
        <v>-</v>
      </c>
      <c r="D533" s="66"/>
    </row>
    <row r="534" spans="2:4">
      <c r="B534" s="65"/>
      <c r="C534" s="66" t="str">
        <f>IFERROR(VLOOKUP(B534,Roster!$A$2:$B$5000,2,FALSE),"-")</f>
        <v>-</v>
      </c>
      <c r="D534" s="66"/>
    </row>
    <row r="535" spans="2:4">
      <c r="B535" s="65"/>
      <c r="C535" s="66" t="str">
        <f>IFERROR(VLOOKUP(B535,Roster!$A$2:$B$5000,2,FALSE),"-")</f>
        <v>-</v>
      </c>
      <c r="D535" s="66"/>
    </row>
    <row r="536" spans="2:4">
      <c r="B536" s="65"/>
      <c r="C536" s="66" t="str">
        <f>IFERROR(VLOOKUP(B536,Roster!$A$2:$B$5000,2,FALSE),"-")</f>
        <v>-</v>
      </c>
      <c r="D536" s="66"/>
    </row>
    <row r="537" spans="2:4">
      <c r="B537" s="65"/>
      <c r="C537" s="66" t="str">
        <f>IFERROR(VLOOKUP(B537,Roster!$A$2:$B$5000,2,FALSE),"-")</f>
        <v>-</v>
      </c>
      <c r="D537" s="66"/>
    </row>
    <row r="538" spans="2:4">
      <c r="B538" s="65"/>
      <c r="C538" s="66" t="str">
        <f>IFERROR(VLOOKUP(B538,Roster!$A$2:$B$5000,2,FALSE),"-")</f>
        <v>-</v>
      </c>
      <c r="D538" s="66"/>
    </row>
    <row r="539" spans="2:4">
      <c r="B539" s="65"/>
      <c r="C539" s="66" t="str">
        <f>IFERROR(VLOOKUP(B539,Roster!$A$2:$B$5000,2,FALSE),"-")</f>
        <v>-</v>
      </c>
      <c r="D539" s="66"/>
    </row>
    <row r="540" spans="2:4">
      <c r="B540" s="65"/>
      <c r="C540" s="66" t="str">
        <f>IFERROR(VLOOKUP(B540,Roster!$A$2:$B$5000,2,FALSE),"-")</f>
        <v>-</v>
      </c>
      <c r="D540" s="66"/>
    </row>
    <row r="541" spans="2:4">
      <c r="B541" s="65"/>
      <c r="C541" s="66" t="str">
        <f>IFERROR(VLOOKUP(B541,Roster!$A$2:$B$5000,2,FALSE),"-")</f>
        <v>-</v>
      </c>
      <c r="D541" s="66"/>
    </row>
    <row r="542" spans="2:4">
      <c r="B542" s="65"/>
      <c r="C542" s="66" t="str">
        <f>IFERROR(VLOOKUP(B542,Roster!$A$2:$B$5000,2,FALSE),"-")</f>
        <v>-</v>
      </c>
      <c r="D542" s="66"/>
    </row>
    <row r="543" spans="2:4">
      <c r="B543" s="65"/>
      <c r="C543" s="66" t="str">
        <f>IFERROR(VLOOKUP(B543,Roster!$A$2:$B$5000,2,FALSE),"-")</f>
        <v>-</v>
      </c>
      <c r="D543" s="66"/>
    </row>
    <row r="544" spans="2:4">
      <c r="B544" s="65"/>
      <c r="C544" s="66" t="str">
        <f>IFERROR(VLOOKUP(B544,Roster!$A$2:$B$5000,2,FALSE),"-")</f>
        <v>-</v>
      </c>
      <c r="D544" s="66"/>
    </row>
    <row r="545" spans="2:4">
      <c r="B545" s="65"/>
      <c r="C545" s="66" t="str">
        <f>IFERROR(VLOOKUP(B545,Roster!$A$2:$B$5000,2,FALSE),"-")</f>
        <v>-</v>
      </c>
      <c r="D545" s="66"/>
    </row>
    <row r="546" spans="2:4">
      <c r="B546" s="65"/>
      <c r="C546" s="66" t="str">
        <f>IFERROR(VLOOKUP(B546,Roster!$A$2:$B$5000,2,FALSE),"-")</f>
        <v>-</v>
      </c>
      <c r="D546" s="66"/>
    </row>
    <row r="547" spans="2:4">
      <c r="B547" s="65"/>
      <c r="C547" s="66" t="str">
        <f>IFERROR(VLOOKUP(B547,Roster!$A$2:$B$5000,2,FALSE),"-")</f>
        <v>-</v>
      </c>
      <c r="D547" s="66"/>
    </row>
    <row r="548" spans="2:4">
      <c r="B548" s="65"/>
      <c r="C548" s="66" t="str">
        <f>IFERROR(VLOOKUP(B548,Roster!$A$2:$B$5000,2,FALSE),"-")</f>
        <v>-</v>
      </c>
      <c r="D548" s="66"/>
    </row>
    <row r="549" spans="2:4">
      <c r="B549" s="65"/>
      <c r="C549" s="66" t="str">
        <f>IFERROR(VLOOKUP(B549,Roster!$A$2:$B$5000,2,FALSE),"-")</f>
        <v>-</v>
      </c>
      <c r="D549" s="66"/>
    </row>
    <row r="550" spans="2:4">
      <c r="B550" s="65"/>
      <c r="C550" s="66" t="str">
        <f>IFERROR(VLOOKUP(B550,Roster!$A$2:$B$5000,2,FALSE),"-")</f>
        <v>-</v>
      </c>
      <c r="D550" s="66"/>
    </row>
    <row r="551" spans="2:4">
      <c r="B551" s="65"/>
      <c r="C551" s="66" t="str">
        <f>IFERROR(VLOOKUP(B551,Roster!$A$2:$B$5000,2,FALSE),"-")</f>
        <v>-</v>
      </c>
      <c r="D551" s="66"/>
    </row>
    <row r="552" spans="2:4">
      <c r="B552" s="65"/>
      <c r="C552" s="66" t="str">
        <f>IFERROR(VLOOKUP(B552,Roster!$A$2:$B$5000,2,FALSE),"-")</f>
        <v>-</v>
      </c>
      <c r="D552" s="66"/>
    </row>
    <row r="553" spans="2:4">
      <c r="B553" s="65"/>
      <c r="C553" s="66" t="str">
        <f>IFERROR(VLOOKUP(B553,Roster!$A$2:$B$5000,2,FALSE),"-")</f>
        <v>-</v>
      </c>
      <c r="D553" s="66"/>
    </row>
    <row r="554" spans="2:4">
      <c r="B554" s="65"/>
      <c r="C554" s="66" t="str">
        <f>IFERROR(VLOOKUP(B554,Roster!$A$2:$B$5000,2,FALSE),"-")</f>
        <v>-</v>
      </c>
      <c r="D554" s="66"/>
    </row>
    <row r="555" spans="2:4">
      <c r="B555" s="65"/>
      <c r="C555" s="66" t="str">
        <f>IFERROR(VLOOKUP(B555,Roster!$A$2:$B$5000,2,FALSE),"-")</f>
        <v>-</v>
      </c>
      <c r="D555" s="66"/>
    </row>
    <row r="556" spans="2:4">
      <c r="B556" s="65"/>
      <c r="C556" s="66" t="str">
        <f>IFERROR(VLOOKUP(B556,Roster!$A$2:$B$5000,2,FALSE),"-")</f>
        <v>-</v>
      </c>
      <c r="D556" s="66"/>
    </row>
    <row r="557" spans="2:4">
      <c r="B557" s="65"/>
      <c r="C557" s="66" t="str">
        <f>IFERROR(VLOOKUP(B557,Roster!$A$2:$B$5000,2,FALSE),"-")</f>
        <v>-</v>
      </c>
      <c r="D557" s="66"/>
    </row>
    <row r="558" spans="2:4">
      <c r="B558" s="65"/>
      <c r="C558" s="66" t="str">
        <f>IFERROR(VLOOKUP(B558,Roster!$A$2:$B$5000,2,FALSE),"-")</f>
        <v>-</v>
      </c>
      <c r="D558" s="66"/>
    </row>
    <row r="559" spans="2:4">
      <c r="B559" s="65"/>
      <c r="C559" s="66" t="str">
        <f>IFERROR(VLOOKUP(B559,Roster!$A$2:$B$5000,2,FALSE),"-")</f>
        <v>-</v>
      </c>
      <c r="D559" s="66"/>
    </row>
    <row r="560" spans="2:4">
      <c r="B560" s="65"/>
      <c r="C560" s="66" t="str">
        <f>IFERROR(VLOOKUP(B560,Roster!$A$2:$B$5000,2,FALSE),"-")</f>
        <v>-</v>
      </c>
      <c r="D560" s="66"/>
    </row>
    <row r="561" spans="2:4">
      <c r="B561" s="65"/>
      <c r="C561" s="66" t="str">
        <f>IFERROR(VLOOKUP(B561,Roster!$A$2:$B$5000,2,FALSE),"-")</f>
        <v>-</v>
      </c>
      <c r="D561" s="66"/>
    </row>
    <row r="562" spans="2:4">
      <c r="B562" s="65"/>
      <c r="C562" s="66" t="str">
        <f>IFERROR(VLOOKUP(B562,Roster!$A$2:$B$5000,2,FALSE),"-")</f>
        <v>-</v>
      </c>
      <c r="D562" s="66"/>
    </row>
    <row r="563" spans="2:4">
      <c r="B563" s="65"/>
      <c r="C563" s="66" t="str">
        <f>IFERROR(VLOOKUP(B563,Roster!$A$2:$B$5000,2,FALSE),"-")</f>
        <v>-</v>
      </c>
      <c r="D563" s="66"/>
    </row>
    <row r="564" spans="2:4">
      <c r="B564" s="65"/>
      <c r="C564" s="66" t="str">
        <f>IFERROR(VLOOKUP(B564,Roster!$A$2:$B$5000,2,FALSE),"-")</f>
        <v>-</v>
      </c>
      <c r="D564" s="66"/>
    </row>
    <row r="565" spans="2:4">
      <c r="B565" s="65"/>
      <c r="C565" s="66" t="str">
        <f>IFERROR(VLOOKUP(B565,Roster!$A$2:$B$5000,2,FALSE),"-")</f>
        <v>-</v>
      </c>
      <c r="D565" s="66"/>
    </row>
    <row r="566" spans="2:4">
      <c r="B566" s="65"/>
      <c r="C566" s="66" t="str">
        <f>IFERROR(VLOOKUP(B566,Roster!$A$2:$B$5000,2,FALSE),"-")</f>
        <v>-</v>
      </c>
      <c r="D566" s="66"/>
    </row>
    <row r="567" spans="2:4">
      <c r="B567" s="65"/>
      <c r="C567" s="66" t="str">
        <f>IFERROR(VLOOKUP(B567,Roster!$A$2:$B$5000,2,FALSE),"-")</f>
        <v>-</v>
      </c>
      <c r="D567" s="66"/>
    </row>
    <row r="568" spans="2:4">
      <c r="B568" s="65"/>
      <c r="C568" s="66" t="str">
        <f>IFERROR(VLOOKUP(B568,Roster!$A$2:$B$5000,2,FALSE),"-")</f>
        <v>-</v>
      </c>
      <c r="D568" s="66"/>
    </row>
    <row r="569" spans="2:4">
      <c r="B569" s="65"/>
      <c r="C569" s="66" t="str">
        <f>IFERROR(VLOOKUP(B569,Roster!$A$2:$B$5000,2,FALSE),"-")</f>
        <v>-</v>
      </c>
      <c r="D569" s="66"/>
    </row>
    <row r="570" spans="2:4">
      <c r="B570" s="65"/>
      <c r="C570" s="66" t="str">
        <f>IFERROR(VLOOKUP(B570,Roster!$A$2:$B$5000,2,FALSE),"-")</f>
        <v>-</v>
      </c>
      <c r="D570" s="66"/>
    </row>
    <row r="571" spans="2:4">
      <c r="B571" s="65"/>
      <c r="C571" s="66" t="str">
        <f>IFERROR(VLOOKUP(B571,Roster!$A$2:$B$5000,2,FALSE),"-")</f>
        <v>-</v>
      </c>
      <c r="D571" s="66"/>
    </row>
    <row r="572" spans="2:4">
      <c r="B572" s="65"/>
      <c r="C572" s="66" t="str">
        <f>IFERROR(VLOOKUP(B572,Roster!$A$2:$B$5000,2,FALSE),"-")</f>
        <v>-</v>
      </c>
      <c r="D572" s="66"/>
    </row>
    <row r="573" spans="2:4">
      <c r="B573" s="65"/>
      <c r="C573" s="66" t="str">
        <f>IFERROR(VLOOKUP(B573,Roster!$A$2:$B$5000,2,FALSE),"-")</f>
        <v>-</v>
      </c>
      <c r="D573" s="66"/>
    </row>
    <row r="574" spans="2:4">
      <c r="B574" s="65"/>
      <c r="C574" s="66" t="str">
        <f>IFERROR(VLOOKUP(B574,Roster!$A$2:$B$5000,2,FALSE),"-")</f>
        <v>-</v>
      </c>
      <c r="D574" s="66"/>
    </row>
    <row r="575" spans="2:4">
      <c r="B575" s="65"/>
      <c r="C575" s="66" t="str">
        <f>IFERROR(VLOOKUP(B575,Roster!$A$2:$B$5000,2,FALSE),"-")</f>
        <v>-</v>
      </c>
      <c r="D575" s="66"/>
    </row>
    <row r="576" spans="2:4">
      <c r="B576" s="65"/>
      <c r="C576" s="66" t="str">
        <f>IFERROR(VLOOKUP(B576,Roster!$A$2:$B$5000,2,FALSE),"-")</f>
        <v>-</v>
      </c>
      <c r="D576" s="66"/>
    </row>
    <row r="577" spans="2:4">
      <c r="B577" s="65"/>
      <c r="C577" s="66" t="str">
        <f>IFERROR(VLOOKUP(B577,Roster!$A$2:$B$5000,2,FALSE),"-")</f>
        <v>-</v>
      </c>
      <c r="D577" s="66"/>
    </row>
    <row r="578" spans="2:4">
      <c r="B578" s="65"/>
      <c r="C578" s="66" t="str">
        <f>IFERROR(VLOOKUP(B578,Roster!$A$2:$B$5000,2,FALSE),"-")</f>
        <v>-</v>
      </c>
      <c r="D578" s="66"/>
    </row>
    <row r="579" spans="2:4">
      <c r="B579" s="65"/>
      <c r="C579" s="66" t="str">
        <f>IFERROR(VLOOKUP(B579,Roster!$A$2:$B$5000,2,FALSE),"-")</f>
        <v>-</v>
      </c>
      <c r="D579" s="66"/>
    </row>
    <row r="580" spans="2:4">
      <c r="B580" s="65"/>
      <c r="C580" s="66" t="str">
        <f>IFERROR(VLOOKUP(B580,Roster!$A$2:$B$5000,2,FALSE),"-")</f>
        <v>-</v>
      </c>
      <c r="D580" s="66"/>
    </row>
    <row r="581" spans="2:4">
      <c r="B581" s="65"/>
      <c r="C581" s="66" t="str">
        <f>IFERROR(VLOOKUP(B581,Roster!$A$2:$B$5000,2,FALSE),"-")</f>
        <v>-</v>
      </c>
      <c r="D581" s="66"/>
    </row>
    <row r="582" spans="2:4">
      <c r="B582" s="65"/>
      <c r="C582" s="66" t="str">
        <f>IFERROR(VLOOKUP(B582,Roster!$A$2:$B$5000,2,FALSE),"-")</f>
        <v>-</v>
      </c>
      <c r="D582" s="66"/>
    </row>
    <row r="583" spans="2:4">
      <c r="B583" s="65"/>
      <c r="C583" s="66" t="str">
        <f>IFERROR(VLOOKUP(B583,Roster!$A$2:$B$5000,2,FALSE),"-")</f>
        <v>-</v>
      </c>
      <c r="D583" s="66"/>
    </row>
    <row r="584" spans="2:4">
      <c r="B584" s="65"/>
      <c r="C584" s="66" t="str">
        <f>IFERROR(VLOOKUP(B584,Roster!$A$2:$B$5000,2,FALSE),"-")</f>
        <v>-</v>
      </c>
      <c r="D584" s="66"/>
    </row>
    <row r="585" spans="2:4">
      <c r="B585" s="65"/>
      <c r="C585" s="66" t="str">
        <f>IFERROR(VLOOKUP(B585,Roster!$A$2:$B$5000,2,FALSE),"-")</f>
        <v>-</v>
      </c>
      <c r="D585" s="66"/>
    </row>
    <row r="586" spans="2:4">
      <c r="B586" s="65"/>
      <c r="C586" s="66" t="str">
        <f>IFERROR(VLOOKUP(B586,Roster!$A$2:$B$5000,2,FALSE),"-")</f>
        <v>-</v>
      </c>
      <c r="D586" s="66"/>
    </row>
    <row r="587" spans="2:4">
      <c r="B587" s="65"/>
      <c r="C587" s="66" t="str">
        <f>IFERROR(VLOOKUP(B587,Roster!$A$2:$B$5000,2,FALSE),"-")</f>
        <v>-</v>
      </c>
      <c r="D587" s="66"/>
    </row>
    <row r="588" spans="2:4">
      <c r="B588" s="65"/>
      <c r="C588" s="66" t="str">
        <f>IFERROR(VLOOKUP(B588,Roster!$A$2:$B$5000,2,FALSE),"-")</f>
        <v>-</v>
      </c>
      <c r="D588" s="66"/>
    </row>
    <row r="589" spans="2:4">
      <c r="B589" s="65"/>
      <c r="C589" s="66" t="str">
        <f>IFERROR(VLOOKUP(B589,Roster!$A$2:$B$5000,2,FALSE),"-")</f>
        <v>-</v>
      </c>
      <c r="D589" s="66"/>
    </row>
    <row r="590" spans="2:4">
      <c r="B590" s="65"/>
      <c r="C590" s="66" t="str">
        <f>IFERROR(VLOOKUP(B590,Roster!$A$2:$B$5000,2,FALSE),"-")</f>
        <v>-</v>
      </c>
      <c r="D590" s="66"/>
    </row>
    <row r="591" spans="2:4">
      <c r="B591" s="65"/>
      <c r="C591" s="66" t="str">
        <f>IFERROR(VLOOKUP(B591,Roster!$A$2:$B$5000,2,FALSE),"-")</f>
        <v>-</v>
      </c>
      <c r="D591" s="66"/>
    </row>
    <row r="592" spans="2:4">
      <c r="B592" s="65"/>
      <c r="C592" s="66" t="str">
        <f>IFERROR(VLOOKUP(B592,Roster!$A$2:$B$5000,2,FALSE),"-")</f>
        <v>-</v>
      </c>
      <c r="D592" s="66"/>
    </row>
    <row r="593" spans="2:4">
      <c r="B593" s="65"/>
      <c r="C593" s="66" t="str">
        <f>IFERROR(VLOOKUP(B593,Roster!$A$2:$B$5000,2,FALSE),"-")</f>
        <v>-</v>
      </c>
      <c r="D593" s="66"/>
    </row>
    <row r="594" spans="2:4">
      <c r="B594" s="65"/>
      <c r="C594" s="66" t="str">
        <f>IFERROR(VLOOKUP(B594,Roster!$A$2:$B$5000,2,FALSE),"-")</f>
        <v>-</v>
      </c>
      <c r="D594" s="66"/>
    </row>
    <row r="595" spans="2:4">
      <c r="B595" s="65"/>
      <c r="C595" s="66" t="str">
        <f>IFERROR(VLOOKUP(B595,Roster!$A$2:$B$5000,2,FALSE),"-")</f>
        <v>-</v>
      </c>
      <c r="D595" s="66"/>
    </row>
    <row r="596" spans="2:4">
      <c r="B596" s="65"/>
      <c r="C596" s="66" t="str">
        <f>IFERROR(VLOOKUP(B596,Roster!$A$2:$B$5000,2,FALSE),"-")</f>
        <v>-</v>
      </c>
      <c r="D596" s="66"/>
    </row>
    <row r="597" spans="2:4">
      <c r="B597" s="65"/>
      <c r="C597" s="66" t="str">
        <f>IFERROR(VLOOKUP(B597,Roster!$A$2:$B$5000,2,FALSE),"-")</f>
        <v>-</v>
      </c>
      <c r="D597" s="66"/>
    </row>
    <row r="598" spans="2:4">
      <c r="B598" s="65"/>
      <c r="C598" s="66" t="str">
        <f>IFERROR(VLOOKUP(B598,Roster!$A$2:$B$5000,2,FALSE),"-")</f>
        <v>-</v>
      </c>
      <c r="D598" s="66"/>
    </row>
    <row r="599" spans="2:4">
      <c r="B599" s="65"/>
      <c r="C599" s="66" t="str">
        <f>IFERROR(VLOOKUP(B599,Roster!$A$2:$B$5000,2,FALSE),"-")</f>
        <v>-</v>
      </c>
      <c r="D599" s="66"/>
    </row>
    <row r="600" spans="2:4">
      <c r="B600" s="65"/>
      <c r="C600" s="66" t="str">
        <f>IFERROR(VLOOKUP(B600,Roster!$A$2:$B$5000,2,FALSE),"-")</f>
        <v>-</v>
      </c>
      <c r="D600" s="66"/>
    </row>
    <row r="601" spans="2:4">
      <c r="B601" s="65"/>
      <c r="C601" s="66" t="str">
        <f>IFERROR(VLOOKUP(B601,Roster!$A$2:$B$5000,2,FALSE),"-")</f>
        <v>-</v>
      </c>
      <c r="D601" s="66"/>
    </row>
    <row r="602" spans="2:4">
      <c r="B602" s="65"/>
      <c r="C602" s="66" t="str">
        <f>IFERROR(VLOOKUP(B602,Roster!$A$2:$B$5000,2,FALSE),"-")</f>
        <v>-</v>
      </c>
      <c r="D602" s="66"/>
    </row>
    <row r="603" spans="2:4">
      <c r="B603" s="65"/>
      <c r="C603" s="66" t="str">
        <f>IFERROR(VLOOKUP(B603,Roster!$A$2:$B$5000,2,FALSE),"-")</f>
        <v>-</v>
      </c>
      <c r="D603" s="66"/>
    </row>
    <row r="604" spans="2:4">
      <c r="B604" s="65"/>
      <c r="C604" s="66" t="str">
        <f>IFERROR(VLOOKUP(B604,Roster!$A$2:$B$5000,2,FALSE),"-")</f>
        <v>-</v>
      </c>
      <c r="D604" s="66"/>
    </row>
    <row r="605" spans="2:4">
      <c r="B605" s="65"/>
      <c r="C605" s="66" t="str">
        <f>IFERROR(VLOOKUP(B605,Roster!$A$2:$B$5000,2,FALSE),"-")</f>
        <v>-</v>
      </c>
      <c r="D605" s="66"/>
    </row>
    <row r="606" spans="2:4">
      <c r="B606" s="65"/>
      <c r="C606" s="66" t="str">
        <f>IFERROR(VLOOKUP(B606,Roster!$A$2:$B$5000,2,FALSE),"-")</f>
        <v>-</v>
      </c>
      <c r="D606" s="66"/>
    </row>
    <row r="607" spans="2:4">
      <c r="B607" s="65"/>
      <c r="C607" s="66" t="str">
        <f>IFERROR(VLOOKUP(B607,Roster!$A$2:$B$5000,2,FALSE),"-")</f>
        <v>-</v>
      </c>
      <c r="D607" s="66"/>
    </row>
    <row r="608" spans="2:4">
      <c r="B608" s="65"/>
      <c r="C608" s="66" t="str">
        <f>IFERROR(VLOOKUP(B608,Roster!$A$2:$B$5000,2,FALSE),"-")</f>
        <v>-</v>
      </c>
      <c r="D608" s="66"/>
    </row>
    <row r="609" spans="2:4">
      <c r="B609" s="65"/>
      <c r="C609" s="66" t="str">
        <f>IFERROR(VLOOKUP(B609,Roster!$A$2:$B$5000,2,FALSE),"-")</f>
        <v>-</v>
      </c>
      <c r="D609" s="66"/>
    </row>
    <row r="610" spans="2:4">
      <c r="B610" s="65"/>
      <c r="C610" s="66" t="str">
        <f>IFERROR(VLOOKUP(B610,Roster!$A$2:$B$5000,2,FALSE),"-")</f>
        <v>-</v>
      </c>
      <c r="D610" s="66"/>
    </row>
    <row r="611" spans="2:4">
      <c r="B611" s="65"/>
      <c r="C611" s="66" t="str">
        <f>IFERROR(VLOOKUP(B611,Roster!$A$2:$B$5000,2,FALSE),"-")</f>
        <v>-</v>
      </c>
      <c r="D611" s="66"/>
    </row>
    <row r="612" spans="2:4">
      <c r="B612" s="65"/>
      <c r="C612" s="66" t="str">
        <f>IFERROR(VLOOKUP(B612,Roster!$A$2:$B$5000,2,FALSE),"-")</f>
        <v>-</v>
      </c>
      <c r="D612" s="66"/>
    </row>
    <row r="613" spans="2:4">
      <c r="B613" s="65"/>
      <c r="C613" s="66" t="str">
        <f>IFERROR(VLOOKUP(B613,Roster!$A$2:$B$5000,2,FALSE),"-")</f>
        <v>-</v>
      </c>
      <c r="D613" s="66"/>
    </row>
    <row r="614" spans="2:4">
      <c r="B614" s="65"/>
      <c r="C614" s="66" t="str">
        <f>IFERROR(VLOOKUP(B614,Roster!$A$2:$B$5000,2,FALSE),"-")</f>
        <v>-</v>
      </c>
      <c r="D614" s="66"/>
    </row>
    <row r="615" spans="2:4">
      <c r="B615" s="65"/>
      <c r="C615" s="66" t="str">
        <f>IFERROR(VLOOKUP(B615,Roster!$A$2:$B$5000,2,FALSE),"-")</f>
        <v>-</v>
      </c>
      <c r="D615" s="66"/>
    </row>
    <row r="616" spans="2:4">
      <c r="B616" s="65"/>
      <c r="C616" s="66" t="str">
        <f>IFERROR(VLOOKUP(B616,Roster!$A$2:$B$5000,2,FALSE),"-")</f>
        <v>-</v>
      </c>
      <c r="D616" s="66"/>
    </row>
    <row r="617" spans="2:4">
      <c r="B617" s="65"/>
      <c r="C617" s="66" t="str">
        <f>IFERROR(VLOOKUP(B617,Roster!$A$2:$B$5000,2,FALSE),"-")</f>
        <v>-</v>
      </c>
      <c r="D617" s="66"/>
    </row>
    <row r="618" spans="2:4">
      <c r="B618" s="65"/>
      <c r="C618" s="66" t="str">
        <f>IFERROR(VLOOKUP(B618,Roster!$A$2:$B$5000,2,FALSE),"-")</f>
        <v>-</v>
      </c>
      <c r="D618" s="66"/>
    </row>
    <row r="619" spans="2:4">
      <c r="B619" s="65"/>
      <c r="C619" s="66" t="str">
        <f>IFERROR(VLOOKUP(B619,Roster!$A$2:$B$5000,2,FALSE),"-")</f>
        <v>-</v>
      </c>
      <c r="D619" s="66"/>
    </row>
    <row r="620" spans="2:4">
      <c r="B620" s="65"/>
      <c r="C620" s="66" t="str">
        <f>IFERROR(VLOOKUP(B620,Roster!$A$2:$B$5000,2,FALSE),"-")</f>
        <v>-</v>
      </c>
      <c r="D620" s="66"/>
    </row>
    <row r="621" spans="2:4">
      <c r="B621" s="65"/>
      <c r="C621" s="66" t="str">
        <f>IFERROR(VLOOKUP(B621,Roster!$A$2:$B$5000,2,FALSE),"-")</f>
        <v>-</v>
      </c>
      <c r="D621" s="66"/>
    </row>
    <row r="622" spans="2:4">
      <c r="B622" s="65"/>
      <c r="C622" s="66" t="str">
        <f>IFERROR(VLOOKUP(B622,Roster!$A$2:$B$5000,2,FALSE),"-")</f>
        <v>-</v>
      </c>
      <c r="D622" s="66"/>
    </row>
    <row r="623" spans="2:4">
      <c r="B623" s="65"/>
      <c r="C623" s="66" t="str">
        <f>IFERROR(VLOOKUP(B623,Roster!$A$2:$B$5000,2,FALSE),"-")</f>
        <v>-</v>
      </c>
      <c r="D623" s="66"/>
    </row>
    <row r="624" spans="2:4">
      <c r="B624" s="65"/>
      <c r="C624" s="66" t="str">
        <f>IFERROR(VLOOKUP(B624,Roster!$A$2:$B$5000,2,FALSE),"-")</f>
        <v>-</v>
      </c>
      <c r="D624" s="66"/>
    </row>
    <row r="625" spans="2:4">
      <c r="B625" s="65"/>
      <c r="C625" s="66" t="str">
        <f>IFERROR(VLOOKUP(B625,Roster!$A$2:$B$5000,2,FALSE),"-")</f>
        <v>-</v>
      </c>
      <c r="D625" s="66"/>
    </row>
    <row r="626" spans="2:4">
      <c r="B626" s="65"/>
      <c r="C626" s="66" t="str">
        <f>IFERROR(VLOOKUP(B626,Roster!$A$2:$B$5000,2,FALSE),"-")</f>
        <v>-</v>
      </c>
      <c r="D626" s="66"/>
    </row>
    <row r="627" spans="2:4">
      <c r="B627" s="65"/>
      <c r="C627" s="66" t="str">
        <f>IFERROR(VLOOKUP(B627,Roster!$A$2:$B$5000,2,FALSE),"-")</f>
        <v>-</v>
      </c>
      <c r="D627" s="66"/>
    </row>
    <row r="628" spans="2:4">
      <c r="B628" s="65"/>
      <c r="C628" s="66" t="str">
        <f>IFERROR(VLOOKUP(B628,Roster!$A$2:$B$5000,2,FALSE),"-")</f>
        <v>-</v>
      </c>
      <c r="D628" s="66"/>
    </row>
    <row r="629" spans="2:4">
      <c r="B629" s="65"/>
      <c r="C629" s="66" t="str">
        <f>IFERROR(VLOOKUP(B629,Roster!$A$2:$B$5000,2,FALSE),"-")</f>
        <v>-</v>
      </c>
      <c r="D629" s="66"/>
    </row>
    <row r="630" spans="2:4">
      <c r="B630" s="65"/>
      <c r="C630" s="66" t="str">
        <f>IFERROR(VLOOKUP(B630,Roster!$A$2:$B$5000,2,FALSE),"-")</f>
        <v>-</v>
      </c>
      <c r="D630" s="66"/>
    </row>
    <row r="631" spans="2:4">
      <c r="B631" s="65"/>
      <c r="C631" s="66" t="str">
        <f>IFERROR(VLOOKUP(B631,Roster!$A$2:$B$5000,2,FALSE),"-")</f>
        <v>-</v>
      </c>
      <c r="D631" s="66"/>
    </row>
    <row r="632" spans="2:4">
      <c r="B632" s="65"/>
      <c r="C632" s="66" t="str">
        <f>IFERROR(VLOOKUP(B632,Roster!$A$2:$B$5000,2,FALSE),"-")</f>
        <v>-</v>
      </c>
      <c r="D632" s="66"/>
    </row>
    <row r="633" spans="2:4">
      <c r="B633" s="65"/>
      <c r="C633" s="66" t="str">
        <f>IFERROR(VLOOKUP(B633,Roster!$A$2:$B$5000,2,FALSE),"-")</f>
        <v>-</v>
      </c>
      <c r="D633" s="66"/>
    </row>
    <row r="634" spans="2:4">
      <c r="B634" s="65"/>
      <c r="C634" s="66" t="str">
        <f>IFERROR(VLOOKUP(B634,Roster!$A$2:$B$5000,2,FALSE),"-")</f>
        <v>-</v>
      </c>
      <c r="D634" s="66"/>
    </row>
    <row r="635" spans="2:4">
      <c r="B635" s="65"/>
      <c r="C635" s="66" t="str">
        <f>IFERROR(VLOOKUP(B635,Roster!$A$2:$B$5000,2,FALSE),"-")</f>
        <v>-</v>
      </c>
      <c r="D635" s="66"/>
    </row>
    <row r="636" spans="2:4">
      <c r="B636" s="65"/>
      <c r="C636" s="66" t="str">
        <f>IFERROR(VLOOKUP(B636,Roster!$A$2:$B$5000,2,FALSE),"-")</f>
        <v>-</v>
      </c>
      <c r="D636" s="66"/>
    </row>
    <row r="637" spans="2:4">
      <c r="B637" s="65"/>
      <c r="C637" s="66" t="str">
        <f>IFERROR(VLOOKUP(B637,Roster!$A$2:$B$5000,2,FALSE),"-")</f>
        <v>-</v>
      </c>
      <c r="D637" s="66"/>
    </row>
    <row r="638" spans="2:4">
      <c r="B638" s="65"/>
      <c r="C638" s="66" t="str">
        <f>IFERROR(VLOOKUP(B638,Roster!$A$2:$B$5000,2,FALSE),"-")</f>
        <v>-</v>
      </c>
      <c r="D638" s="66"/>
    </row>
    <row r="639" spans="2:4">
      <c r="B639" s="65"/>
      <c r="C639" s="66" t="str">
        <f>IFERROR(VLOOKUP(B639,Roster!$A$2:$B$5000,2,FALSE),"-")</f>
        <v>-</v>
      </c>
      <c r="D639" s="66"/>
    </row>
    <row r="640" spans="2:4">
      <c r="B640" s="65"/>
      <c r="C640" s="66" t="str">
        <f>IFERROR(VLOOKUP(B640,Roster!$A$2:$B$5000,2,FALSE),"-")</f>
        <v>-</v>
      </c>
      <c r="D640" s="66"/>
    </row>
    <row r="641" spans="2:4">
      <c r="B641" s="65"/>
      <c r="C641" s="66" t="str">
        <f>IFERROR(VLOOKUP(B641,Roster!$A$2:$B$5000,2,FALSE),"-")</f>
        <v>-</v>
      </c>
      <c r="D641" s="66"/>
    </row>
    <row r="642" spans="2:4">
      <c r="B642" s="65"/>
      <c r="C642" s="66" t="str">
        <f>IFERROR(VLOOKUP(B642,Roster!$A$2:$B$5000,2,FALSE),"-")</f>
        <v>-</v>
      </c>
      <c r="D642" s="66"/>
    </row>
    <row r="643" spans="2:4">
      <c r="B643" s="65"/>
      <c r="C643" s="66" t="str">
        <f>IFERROR(VLOOKUP(B643,Roster!$A$2:$B$5000,2,FALSE),"-")</f>
        <v>-</v>
      </c>
      <c r="D643" s="66"/>
    </row>
    <row r="644" spans="2:4">
      <c r="B644" s="65"/>
      <c r="C644" s="66" t="str">
        <f>IFERROR(VLOOKUP(B644,Roster!$A$2:$B$5000,2,FALSE),"-")</f>
        <v>-</v>
      </c>
      <c r="D644" s="66"/>
    </row>
    <row r="645" spans="2:4">
      <c r="B645" s="65"/>
      <c r="C645" s="66" t="str">
        <f>IFERROR(VLOOKUP(B645,Roster!$A$2:$B$5000,2,FALSE),"-")</f>
        <v>-</v>
      </c>
      <c r="D645" s="66"/>
    </row>
    <row r="646" spans="2:4">
      <c r="B646" s="65"/>
      <c r="C646" s="66" t="str">
        <f>IFERROR(VLOOKUP(B646,Roster!$A$2:$B$5000,2,FALSE),"-")</f>
        <v>-</v>
      </c>
      <c r="D646" s="66"/>
    </row>
    <row r="647" spans="2:4">
      <c r="B647" s="65"/>
      <c r="C647" s="66" t="str">
        <f>IFERROR(VLOOKUP(B647,Roster!$A$2:$B$5000,2,FALSE),"-")</f>
        <v>-</v>
      </c>
      <c r="D647" s="66"/>
    </row>
    <row r="648" spans="2:4">
      <c r="B648" s="65"/>
      <c r="C648" s="66" t="str">
        <f>IFERROR(VLOOKUP(B648,Roster!$A$2:$B$5000,2,FALSE),"-")</f>
        <v>-</v>
      </c>
      <c r="D648" s="66"/>
    </row>
    <row r="649" spans="2:4">
      <c r="B649" s="65"/>
      <c r="C649" s="66" t="str">
        <f>IFERROR(VLOOKUP(B649,Roster!$A$2:$B$5000,2,FALSE),"-")</f>
        <v>-</v>
      </c>
      <c r="D649" s="66"/>
    </row>
    <row r="650" spans="2:4">
      <c r="B650" s="65"/>
      <c r="C650" s="66" t="str">
        <f>IFERROR(VLOOKUP(B650,Roster!$A$2:$B$5000,2,FALSE),"-")</f>
        <v>-</v>
      </c>
      <c r="D650" s="66"/>
    </row>
    <row r="651" spans="2:4">
      <c r="B651" s="65"/>
      <c r="C651" s="66" t="str">
        <f>IFERROR(VLOOKUP(B651,Roster!$A$2:$B$5000,2,FALSE),"-")</f>
        <v>-</v>
      </c>
      <c r="D651" s="66"/>
    </row>
    <row r="652" spans="2:4">
      <c r="B652" s="65"/>
      <c r="C652" s="66" t="str">
        <f>IFERROR(VLOOKUP(B652,Roster!$A$2:$B$5000,2,FALSE),"-")</f>
        <v>-</v>
      </c>
      <c r="D652" s="66"/>
    </row>
    <row r="653" spans="2:4">
      <c r="B653" s="65"/>
      <c r="C653" s="66" t="str">
        <f>IFERROR(VLOOKUP(B653,Roster!$A$2:$B$5000,2,FALSE),"-")</f>
        <v>-</v>
      </c>
      <c r="D653" s="66"/>
    </row>
    <row r="654" spans="2:4">
      <c r="B654" s="65"/>
      <c r="C654" s="66" t="str">
        <f>IFERROR(VLOOKUP(B654,Roster!$A$2:$B$5000,2,FALSE),"-")</f>
        <v>-</v>
      </c>
      <c r="D654" s="66"/>
    </row>
    <row r="655" spans="2:4">
      <c r="B655" s="65"/>
      <c r="C655" s="66" t="str">
        <f>IFERROR(VLOOKUP(B655,Roster!$A$2:$B$5000,2,FALSE),"-")</f>
        <v>-</v>
      </c>
      <c r="D655" s="66"/>
    </row>
    <row r="656" spans="2:4">
      <c r="B656" s="65"/>
      <c r="C656" s="66" t="str">
        <f>IFERROR(VLOOKUP(B656,Roster!$A$2:$B$5000,2,FALSE),"-")</f>
        <v>-</v>
      </c>
      <c r="D656" s="66"/>
    </row>
    <row r="657" spans="2:4">
      <c r="B657" s="65"/>
      <c r="C657" s="66" t="str">
        <f>IFERROR(VLOOKUP(B657,Roster!$A$2:$B$5000,2,FALSE),"-")</f>
        <v>-</v>
      </c>
      <c r="D657" s="66"/>
    </row>
    <row r="658" spans="2:4">
      <c r="B658" s="65"/>
      <c r="C658" s="66" t="str">
        <f>IFERROR(VLOOKUP(B658,Roster!$A$2:$B$5000,2,FALSE),"-")</f>
        <v>-</v>
      </c>
      <c r="D658" s="66"/>
    </row>
    <row r="659" spans="2:4">
      <c r="B659" s="65"/>
      <c r="C659" s="66" t="str">
        <f>IFERROR(VLOOKUP(B659,Roster!$A$2:$B$5000,2,FALSE),"-")</f>
        <v>-</v>
      </c>
      <c r="D659" s="66"/>
    </row>
    <row r="660" spans="2:4">
      <c r="B660" s="65"/>
      <c r="C660" s="66" t="str">
        <f>IFERROR(VLOOKUP(B660,Roster!$A$2:$B$5000,2,FALSE),"-")</f>
        <v>-</v>
      </c>
      <c r="D660" s="66"/>
    </row>
    <row r="661" spans="2:4">
      <c r="B661" s="65"/>
      <c r="C661" s="66" t="str">
        <f>IFERROR(VLOOKUP(B661,Roster!$A$2:$B$5000,2,FALSE),"-")</f>
        <v>-</v>
      </c>
      <c r="D661" s="66"/>
    </row>
    <row r="662" spans="2:4">
      <c r="B662" s="65"/>
      <c r="C662" s="66" t="str">
        <f>IFERROR(VLOOKUP(B662,Roster!$A$2:$B$5000,2,FALSE),"-")</f>
        <v>-</v>
      </c>
      <c r="D662" s="66"/>
    </row>
    <row r="663" spans="2:4">
      <c r="B663" s="65"/>
      <c r="C663" s="66" t="str">
        <f>IFERROR(VLOOKUP(B663,Roster!$A$2:$B$5000,2,FALSE),"-")</f>
        <v>-</v>
      </c>
      <c r="D663" s="66"/>
    </row>
    <row r="664" spans="2:4">
      <c r="B664" s="65"/>
      <c r="C664" s="66" t="str">
        <f>IFERROR(VLOOKUP(B664,Roster!$A$2:$B$5000,2,FALSE),"-")</f>
        <v>-</v>
      </c>
      <c r="D664" s="66"/>
    </row>
    <row r="665" spans="2:4">
      <c r="B665" s="65"/>
      <c r="C665" s="66" t="str">
        <f>IFERROR(VLOOKUP(B665,Roster!$A$2:$B$5000,2,FALSE),"-")</f>
        <v>-</v>
      </c>
      <c r="D665" s="66"/>
    </row>
    <row r="666" spans="2:4">
      <c r="B666" s="65"/>
      <c r="C666" s="66" t="str">
        <f>IFERROR(VLOOKUP(B666,Roster!$A$2:$B$5000,2,FALSE),"-")</f>
        <v>-</v>
      </c>
      <c r="D666" s="66"/>
    </row>
    <row r="667" spans="2:4">
      <c r="B667" s="65"/>
      <c r="C667" s="66" t="str">
        <f>IFERROR(VLOOKUP(B667,Roster!$A$2:$B$5000,2,FALSE),"-")</f>
        <v>-</v>
      </c>
      <c r="D667" s="66"/>
    </row>
    <row r="668" spans="2:4">
      <c r="B668" s="65"/>
      <c r="C668" s="66" t="str">
        <f>IFERROR(VLOOKUP(B668,Roster!$A$2:$B$5000,2,FALSE),"-")</f>
        <v>-</v>
      </c>
      <c r="D668" s="66"/>
    </row>
    <row r="669" spans="2:4">
      <c r="B669" s="65"/>
      <c r="C669" s="66" t="str">
        <f>IFERROR(VLOOKUP(B669,Roster!$A$2:$B$5000,2,FALSE),"-")</f>
        <v>-</v>
      </c>
      <c r="D669" s="66"/>
    </row>
    <row r="670" spans="2:4">
      <c r="B670" s="65"/>
      <c r="C670" s="66" t="str">
        <f>IFERROR(VLOOKUP(B670,Roster!$A$2:$B$5000,2,FALSE),"-")</f>
        <v>-</v>
      </c>
      <c r="D670" s="66"/>
    </row>
    <row r="671" spans="2:4">
      <c r="B671" s="65"/>
      <c r="C671" s="66" t="str">
        <f>IFERROR(VLOOKUP(B671,Roster!$A$2:$B$5000,2,FALSE),"-")</f>
        <v>-</v>
      </c>
      <c r="D671" s="66"/>
    </row>
    <row r="672" spans="2:4">
      <c r="B672" s="65"/>
      <c r="C672" s="66" t="str">
        <f>IFERROR(VLOOKUP(B672,Roster!$A$2:$B$5000,2,FALSE),"-")</f>
        <v>-</v>
      </c>
      <c r="D672" s="66"/>
    </row>
    <row r="673" spans="2:4">
      <c r="B673" s="65"/>
      <c r="C673" s="66" t="str">
        <f>IFERROR(VLOOKUP(B673,Roster!$A$2:$B$5000,2,FALSE),"-")</f>
        <v>-</v>
      </c>
      <c r="D673" s="66"/>
    </row>
    <row r="674" spans="2:4">
      <c r="B674" s="65"/>
      <c r="C674" s="66" t="str">
        <f>IFERROR(VLOOKUP(B674,Roster!$A$2:$B$5000,2,FALSE),"-")</f>
        <v>-</v>
      </c>
      <c r="D674" s="66"/>
    </row>
    <row r="675" spans="2:4">
      <c r="B675" s="65"/>
      <c r="C675" s="66" t="str">
        <f>IFERROR(VLOOKUP(B675,Roster!$A$2:$B$5000,2,FALSE),"-")</f>
        <v>-</v>
      </c>
      <c r="D675" s="66"/>
    </row>
    <row r="676" spans="2:4">
      <c r="B676" s="65"/>
      <c r="C676" s="66" t="str">
        <f>IFERROR(VLOOKUP(B676,Roster!$A$2:$B$5000,2,FALSE),"-")</f>
        <v>-</v>
      </c>
      <c r="D676" s="66"/>
    </row>
    <row r="677" spans="2:4">
      <c r="B677" s="65"/>
      <c r="C677" s="66" t="str">
        <f>IFERROR(VLOOKUP(B677,Roster!$A$2:$B$5000,2,FALSE),"-")</f>
        <v>-</v>
      </c>
      <c r="D677" s="66"/>
    </row>
    <row r="678" spans="2:4">
      <c r="B678" s="65"/>
      <c r="C678" s="66" t="str">
        <f>IFERROR(VLOOKUP(B678,Roster!$A$2:$B$5000,2,FALSE),"-")</f>
        <v>-</v>
      </c>
      <c r="D678" s="66"/>
    </row>
    <row r="679" spans="2:4">
      <c r="B679" s="65"/>
      <c r="C679" s="66" t="str">
        <f>IFERROR(VLOOKUP(B679,Roster!$A$2:$B$5000,2,FALSE),"-")</f>
        <v>-</v>
      </c>
      <c r="D679" s="66"/>
    </row>
    <row r="680" spans="2:4">
      <c r="B680" s="65"/>
      <c r="C680" s="66" t="str">
        <f>IFERROR(VLOOKUP(B680,Roster!$A$2:$B$5000,2,FALSE),"-")</f>
        <v>-</v>
      </c>
      <c r="D680" s="66"/>
    </row>
    <row r="681" spans="2:4">
      <c r="B681" s="65"/>
      <c r="C681" s="66" t="str">
        <f>IFERROR(VLOOKUP(B681,Roster!$A$2:$B$5000,2,FALSE),"-")</f>
        <v>-</v>
      </c>
      <c r="D681" s="66"/>
    </row>
    <row r="682" spans="2:4">
      <c r="B682" s="65"/>
      <c r="C682" s="66" t="str">
        <f>IFERROR(VLOOKUP(B682,Roster!$A$2:$B$5000,2,FALSE),"-")</f>
        <v>-</v>
      </c>
      <c r="D682" s="66"/>
    </row>
    <row r="683" spans="2:4">
      <c r="B683" s="65"/>
      <c r="C683" s="66" t="str">
        <f>IFERROR(VLOOKUP(B683,Roster!$A$2:$B$5000,2,FALSE),"-")</f>
        <v>-</v>
      </c>
      <c r="D683" s="66"/>
    </row>
    <row r="684" spans="2:4">
      <c r="B684" s="65"/>
      <c r="C684" s="66" t="str">
        <f>IFERROR(VLOOKUP(B684,Roster!$A$2:$B$5000,2,FALSE),"-")</f>
        <v>-</v>
      </c>
      <c r="D684" s="66"/>
    </row>
    <row r="685" spans="2:4">
      <c r="B685" s="65"/>
      <c r="C685" s="66" t="str">
        <f>IFERROR(VLOOKUP(B685,Roster!$A$2:$B$5000,2,FALSE),"-")</f>
        <v>-</v>
      </c>
      <c r="D685" s="66"/>
    </row>
    <row r="686" spans="2:4">
      <c r="B686" s="65"/>
      <c r="C686" s="66" t="str">
        <f>IFERROR(VLOOKUP(B686,Roster!$A$2:$B$5000,2,FALSE),"-")</f>
        <v>-</v>
      </c>
      <c r="D686" s="66"/>
    </row>
    <row r="687" spans="2:4">
      <c r="B687" s="65"/>
      <c r="C687" s="66" t="str">
        <f>IFERROR(VLOOKUP(B687,Roster!$A$2:$B$5000,2,FALSE),"-")</f>
        <v>-</v>
      </c>
      <c r="D687" s="66"/>
    </row>
    <row r="688" spans="2:4">
      <c r="B688" s="65"/>
      <c r="C688" s="66" t="str">
        <f>IFERROR(VLOOKUP(B688,Roster!$A$2:$B$5000,2,FALSE),"-")</f>
        <v>-</v>
      </c>
      <c r="D688" s="66"/>
    </row>
    <row r="689" spans="2:4">
      <c r="B689" s="65"/>
      <c r="C689" s="66" t="str">
        <f>IFERROR(VLOOKUP(B689,Roster!$A$2:$B$5000,2,FALSE),"-")</f>
        <v>-</v>
      </c>
      <c r="D689" s="66"/>
    </row>
    <row r="690" spans="2:4">
      <c r="B690" s="65"/>
      <c r="C690" s="66" t="str">
        <f>IFERROR(VLOOKUP(B690,Roster!$A$2:$B$5000,2,FALSE),"-")</f>
        <v>-</v>
      </c>
      <c r="D690" s="66"/>
    </row>
    <row r="691" spans="2:4">
      <c r="B691" s="65"/>
      <c r="C691" s="66" t="str">
        <f>IFERROR(VLOOKUP(B691,Roster!$A$2:$B$5000,2,FALSE),"-")</f>
        <v>-</v>
      </c>
      <c r="D691" s="66"/>
    </row>
    <row r="692" spans="2:4">
      <c r="B692" s="65"/>
      <c r="C692" s="66" t="str">
        <f>IFERROR(VLOOKUP(B692,Roster!$A$2:$B$5000,2,FALSE),"-")</f>
        <v>-</v>
      </c>
      <c r="D692" s="66"/>
    </row>
    <row r="693" spans="2:4">
      <c r="B693" s="65"/>
      <c r="C693" s="66" t="str">
        <f>IFERROR(VLOOKUP(B693,Roster!$A$2:$B$5000,2,FALSE),"-")</f>
        <v>-</v>
      </c>
      <c r="D693" s="66"/>
    </row>
    <row r="694" spans="2:4">
      <c r="B694" s="65"/>
      <c r="C694" s="66" t="str">
        <f>IFERROR(VLOOKUP(B694,Roster!$A$2:$B$5000,2,FALSE),"-")</f>
        <v>-</v>
      </c>
      <c r="D694" s="66"/>
    </row>
    <row r="695" spans="2:4">
      <c r="B695" s="65"/>
      <c r="C695" s="66" t="str">
        <f>IFERROR(VLOOKUP(B695,Roster!$A$2:$B$5000,2,FALSE),"-")</f>
        <v>-</v>
      </c>
      <c r="D695" s="66"/>
    </row>
    <row r="696" spans="2:4">
      <c r="B696" s="65"/>
      <c r="C696" s="66" t="str">
        <f>IFERROR(VLOOKUP(B696,Roster!$A$2:$B$5000,2,FALSE),"-")</f>
        <v>-</v>
      </c>
      <c r="D696" s="66"/>
    </row>
    <row r="697" spans="2:4">
      <c r="B697" s="65"/>
      <c r="C697" s="66" t="str">
        <f>IFERROR(VLOOKUP(B697,Roster!$A$2:$B$5000,2,FALSE),"-")</f>
        <v>-</v>
      </c>
      <c r="D697" s="66"/>
    </row>
    <row r="698" spans="2:4">
      <c r="B698" s="65"/>
      <c r="C698" s="66" t="str">
        <f>IFERROR(VLOOKUP(B698,Roster!$A$2:$B$5000,2,FALSE),"-")</f>
        <v>-</v>
      </c>
      <c r="D698" s="66"/>
    </row>
    <row r="699" spans="2:4">
      <c r="B699" s="65"/>
      <c r="C699" s="66" t="str">
        <f>IFERROR(VLOOKUP(B699,Roster!$A$2:$B$5000,2,FALSE),"-")</f>
        <v>-</v>
      </c>
      <c r="D699" s="66"/>
    </row>
    <row r="700" spans="2:4">
      <c r="B700" s="65"/>
      <c r="C700" s="66" t="str">
        <f>IFERROR(VLOOKUP(B700,Roster!$A$2:$B$5000,2,FALSE),"-")</f>
        <v>-</v>
      </c>
      <c r="D700" s="66"/>
    </row>
    <row r="701" spans="2:4">
      <c r="B701" s="65"/>
      <c r="C701" s="66" t="str">
        <f>IFERROR(VLOOKUP(B701,Roster!$A$2:$B$5000,2,FALSE),"-")</f>
        <v>-</v>
      </c>
      <c r="D701" s="66"/>
    </row>
    <row r="702" spans="2:4">
      <c r="B702" s="65"/>
      <c r="C702" s="66" t="str">
        <f>IFERROR(VLOOKUP(B702,Roster!$A$2:$B$5000,2,FALSE),"-")</f>
        <v>-</v>
      </c>
      <c r="D702" s="66"/>
    </row>
    <row r="703" spans="2:4">
      <c r="B703" s="65"/>
      <c r="C703" s="66" t="str">
        <f>IFERROR(VLOOKUP(B703,Roster!$A$2:$B$5000,2,FALSE),"-")</f>
        <v>-</v>
      </c>
      <c r="D703" s="66"/>
    </row>
    <row r="704" spans="2:4">
      <c r="B704" s="65"/>
      <c r="C704" s="66" t="str">
        <f>IFERROR(VLOOKUP(B704,Roster!$A$2:$B$5000,2,FALSE),"-")</f>
        <v>-</v>
      </c>
      <c r="D704" s="66"/>
    </row>
    <row r="705" spans="2:4">
      <c r="B705" s="65"/>
      <c r="C705" s="66" t="str">
        <f>IFERROR(VLOOKUP(B705,Roster!$A$2:$B$5000,2,FALSE),"-")</f>
        <v>-</v>
      </c>
      <c r="D705" s="66"/>
    </row>
    <row r="706" spans="2:4">
      <c r="B706" s="65"/>
      <c r="C706" s="66" t="str">
        <f>IFERROR(VLOOKUP(B706,Roster!$A$2:$B$5000,2,FALSE),"-")</f>
        <v>-</v>
      </c>
      <c r="D706" s="66"/>
    </row>
    <row r="707" spans="2:4">
      <c r="B707" s="65"/>
      <c r="C707" s="66" t="str">
        <f>IFERROR(VLOOKUP(B707,Roster!$A$2:$B$5000,2,FALSE),"-")</f>
        <v>-</v>
      </c>
      <c r="D707" s="66"/>
    </row>
    <row r="708" spans="2:4">
      <c r="B708" s="65"/>
      <c r="C708" s="66" t="str">
        <f>IFERROR(VLOOKUP(B708,Roster!$A$2:$B$5000,2,FALSE),"-")</f>
        <v>-</v>
      </c>
      <c r="D708" s="66"/>
    </row>
    <row r="709" spans="2:4">
      <c r="B709" s="65"/>
      <c r="C709" s="66" t="str">
        <f>IFERROR(VLOOKUP(B709,Roster!$A$2:$B$5000,2,FALSE),"-")</f>
        <v>-</v>
      </c>
      <c r="D709" s="66"/>
    </row>
    <row r="710" spans="2:4">
      <c r="B710" s="65"/>
      <c r="C710" s="66" t="str">
        <f>IFERROR(VLOOKUP(B710,Roster!$A$2:$B$5000,2,FALSE),"-")</f>
        <v>-</v>
      </c>
      <c r="D710" s="66"/>
    </row>
    <row r="711" spans="2:4">
      <c r="B711" s="65"/>
      <c r="C711" s="66" t="str">
        <f>IFERROR(VLOOKUP(B711,Roster!$A$2:$B$5000,2,FALSE),"-")</f>
        <v>-</v>
      </c>
      <c r="D711" s="66"/>
    </row>
    <row r="712" spans="2:4">
      <c r="B712" s="65"/>
      <c r="C712" s="66" t="str">
        <f>IFERROR(VLOOKUP(B712,Roster!$A$2:$B$5000,2,FALSE),"-")</f>
        <v>-</v>
      </c>
      <c r="D712" s="66"/>
    </row>
    <row r="713" spans="2:4">
      <c r="B713" s="65"/>
      <c r="C713" s="66" t="str">
        <f>IFERROR(VLOOKUP(B713,Roster!$A$2:$B$5000,2,FALSE),"-")</f>
        <v>-</v>
      </c>
      <c r="D713" s="66"/>
    </row>
    <row r="714" spans="2:4">
      <c r="B714" s="65"/>
      <c r="C714" s="66" t="str">
        <f>IFERROR(VLOOKUP(B714,Roster!$A$2:$B$5000,2,FALSE),"-")</f>
        <v>-</v>
      </c>
      <c r="D714" s="66"/>
    </row>
    <row r="715" spans="2:4">
      <c r="B715" s="65"/>
      <c r="C715" s="66" t="str">
        <f>IFERROR(VLOOKUP(B715,Roster!$A$2:$B$5000,2,FALSE),"-")</f>
        <v>-</v>
      </c>
      <c r="D715" s="66"/>
    </row>
    <row r="716" spans="2:4">
      <c r="B716" s="65"/>
      <c r="C716" s="66" t="str">
        <f>IFERROR(VLOOKUP(B716,Roster!$A$2:$B$5000,2,FALSE),"-")</f>
        <v>-</v>
      </c>
      <c r="D716" s="66"/>
    </row>
    <row r="717" spans="2:4">
      <c r="B717" s="65"/>
      <c r="C717" s="66" t="str">
        <f>IFERROR(VLOOKUP(B717,Roster!$A$2:$B$5000,2,FALSE),"-")</f>
        <v>-</v>
      </c>
      <c r="D717" s="66"/>
    </row>
    <row r="718" spans="2:4">
      <c r="B718" s="65"/>
      <c r="C718" s="66" t="str">
        <f>IFERROR(VLOOKUP(B718,Roster!$A$2:$B$5000,2,FALSE),"-")</f>
        <v>-</v>
      </c>
      <c r="D718" s="66"/>
    </row>
    <row r="719" spans="2:4">
      <c r="B719" s="65"/>
      <c r="C719" s="66" t="str">
        <f>IFERROR(VLOOKUP(B719,Roster!$A$2:$B$5000,2,FALSE),"-")</f>
        <v>-</v>
      </c>
      <c r="D719" s="66"/>
    </row>
    <row r="720" spans="2:4">
      <c r="B720" s="65"/>
      <c r="C720" s="66" t="str">
        <f>IFERROR(VLOOKUP(B720,Roster!$A$2:$B$5000,2,FALSE),"-")</f>
        <v>-</v>
      </c>
      <c r="D720" s="66"/>
    </row>
    <row r="721" spans="2:4">
      <c r="B721" s="65"/>
      <c r="C721" s="66" t="str">
        <f>IFERROR(VLOOKUP(B721,Roster!$A$2:$B$5000,2,FALSE),"-")</f>
        <v>-</v>
      </c>
      <c r="D721" s="66"/>
    </row>
    <row r="722" spans="2:4">
      <c r="B722" s="65"/>
      <c r="C722" s="66" t="str">
        <f>IFERROR(VLOOKUP(B722,Roster!$A$2:$B$5000,2,FALSE),"-")</f>
        <v>-</v>
      </c>
      <c r="D722" s="66"/>
    </row>
    <row r="723" spans="2:4">
      <c r="B723" s="65"/>
      <c r="C723" s="66" t="str">
        <f>IFERROR(VLOOKUP(B723,Roster!$A$2:$B$5000,2,FALSE),"-")</f>
        <v>-</v>
      </c>
      <c r="D723" s="66"/>
    </row>
    <row r="724" spans="2:4">
      <c r="B724" s="65"/>
      <c r="C724" s="66" t="str">
        <f>IFERROR(VLOOKUP(B724,Roster!$A$2:$B$5000,2,FALSE),"-")</f>
        <v>-</v>
      </c>
      <c r="D724" s="66"/>
    </row>
    <row r="725" spans="2:4">
      <c r="B725" s="65"/>
      <c r="C725" s="66" t="str">
        <f>IFERROR(VLOOKUP(B725,Roster!$A$2:$B$5000,2,FALSE),"-")</f>
        <v>-</v>
      </c>
      <c r="D725" s="66"/>
    </row>
    <row r="726" spans="2:4">
      <c r="B726" s="65"/>
      <c r="C726" s="66" t="str">
        <f>IFERROR(VLOOKUP(B726,Roster!$A$2:$B$5000,2,FALSE),"-")</f>
        <v>-</v>
      </c>
      <c r="D726" s="66"/>
    </row>
    <row r="727" spans="2:4">
      <c r="B727" s="65"/>
      <c r="C727" s="66" t="str">
        <f>IFERROR(VLOOKUP(B727,Roster!$A$2:$B$5000,2,FALSE),"-")</f>
        <v>-</v>
      </c>
      <c r="D727" s="66"/>
    </row>
    <row r="728" spans="2:4">
      <c r="B728" s="65"/>
      <c r="C728" s="66" t="str">
        <f>IFERROR(VLOOKUP(B728,Roster!$A$2:$B$5000,2,FALSE),"-")</f>
        <v>-</v>
      </c>
      <c r="D728" s="66"/>
    </row>
    <row r="729" spans="2:4">
      <c r="B729" s="65"/>
      <c r="C729" s="66" t="str">
        <f>IFERROR(VLOOKUP(B729,Roster!$A$2:$B$5000,2,FALSE),"-")</f>
        <v>-</v>
      </c>
      <c r="D729" s="66"/>
    </row>
    <row r="730" spans="2:4">
      <c r="B730" s="65"/>
      <c r="C730" s="66" t="str">
        <f>IFERROR(VLOOKUP(B730,Roster!$A$2:$B$5000,2,FALSE),"-")</f>
        <v>-</v>
      </c>
      <c r="D730" s="66"/>
    </row>
    <row r="731" spans="2:4">
      <c r="B731" s="65"/>
      <c r="C731" s="66" t="str">
        <f>IFERROR(VLOOKUP(B731,Roster!$A$2:$B$5000,2,FALSE),"-")</f>
        <v>-</v>
      </c>
      <c r="D731" s="66"/>
    </row>
    <row r="732" spans="2:4">
      <c r="B732" s="65"/>
      <c r="C732" s="66" t="str">
        <f>IFERROR(VLOOKUP(B732,Roster!$A$2:$B$5000,2,FALSE),"-")</f>
        <v>-</v>
      </c>
      <c r="D732" s="66"/>
    </row>
    <row r="733" spans="2:4">
      <c r="B733" s="65"/>
      <c r="C733" s="66" t="str">
        <f>IFERROR(VLOOKUP(B733,Roster!$A$2:$B$5000,2,FALSE),"-")</f>
        <v>-</v>
      </c>
      <c r="D733" s="66"/>
    </row>
    <row r="734" spans="2:4">
      <c r="B734" s="65"/>
      <c r="C734" s="66" t="str">
        <f>IFERROR(VLOOKUP(B734,Roster!$A$2:$B$5000,2,FALSE),"-")</f>
        <v>-</v>
      </c>
      <c r="D734" s="66"/>
    </row>
    <row r="735" spans="2:4">
      <c r="B735" s="65"/>
      <c r="C735" s="66" t="str">
        <f>IFERROR(VLOOKUP(B735,Roster!$A$2:$B$5000,2,FALSE),"-")</f>
        <v>-</v>
      </c>
      <c r="D735" s="66"/>
    </row>
    <row r="736" spans="2:4">
      <c r="B736" s="65"/>
      <c r="C736" s="66" t="str">
        <f>IFERROR(VLOOKUP(B736,Roster!$A$2:$B$5000,2,FALSE),"-")</f>
        <v>-</v>
      </c>
      <c r="D736" s="66"/>
    </row>
    <row r="737" spans="2:4">
      <c r="B737" s="65"/>
      <c r="C737" s="66" t="str">
        <f>IFERROR(VLOOKUP(B737,Roster!$A$2:$B$5000,2,FALSE),"-")</f>
        <v>-</v>
      </c>
      <c r="D737" s="66"/>
    </row>
    <row r="738" spans="2:4">
      <c r="B738" s="65"/>
      <c r="C738" s="66" t="str">
        <f>IFERROR(VLOOKUP(B738,Roster!$A$2:$B$5000,2,FALSE),"-")</f>
        <v>-</v>
      </c>
      <c r="D738" s="66"/>
    </row>
    <row r="739" spans="2:4">
      <c r="B739" s="65"/>
      <c r="C739" s="66" t="str">
        <f>IFERROR(VLOOKUP(B739,Roster!$A$2:$B$5000,2,FALSE),"-")</f>
        <v>-</v>
      </c>
      <c r="D739" s="66"/>
    </row>
    <row r="740" spans="2:4">
      <c r="B740" s="65"/>
      <c r="C740" s="66" t="str">
        <f>IFERROR(VLOOKUP(B740,Roster!$A$2:$B$5000,2,FALSE),"-")</f>
        <v>-</v>
      </c>
      <c r="D740" s="66"/>
    </row>
    <row r="741" spans="2:4">
      <c r="B741" s="65"/>
      <c r="C741" s="66" t="str">
        <f>IFERROR(VLOOKUP(B741,Roster!$A$2:$B$5000,2,FALSE),"-")</f>
        <v>-</v>
      </c>
      <c r="D741" s="66"/>
    </row>
    <row r="742" spans="2:4">
      <c r="B742" s="65"/>
      <c r="C742" s="66" t="str">
        <f>IFERROR(VLOOKUP(B742,Roster!$A$2:$B$5000,2,FALSE),"-")</f>
        <v>-</v>
      </c>
      <c r="D742" s="66"/>
    </row>
    <row r="743" spans="2:4">
      <c r="B743" s="65"/>
      <c r="C743" s="66" t="str">
        <f>IFERROR(VLOOKUP(B743,Roster!$A$2:$B$5000,2,FALSE),"-")</f>
        <v>-</v>
      </c>
      <c r="D743" s="66"/>
    </row>
    <row r="744" spans="2:4">
      <c r="B744" s="65"/>
      <c r="C744" s="66" t="str">
        <f>IFERROR(VLOOKUP(B744,Roster!$A$2:$B$5000,2,FALSE),"-")</f>
        <v>-</v>
      </c>
      <c r="D744" s="66"/>
    </row>
    <row r="745" spans="2:4">
      <c r="B745" s="65"/>
      <c r="C745" s="66" t="str">
        <f>IFERROR(VLOOKUP(B745,Roster!$A$2:$B$5000,2,FALSE),"-")</f>
        <v>-</v>
      </c>
      <c r="D745" s="66"/>
    </row>
    <row r="746" spans="2:4">
      <c r="B746" s="65"/>
      <c r="C746" s="66" t="str">
        <f>IFERROR(VLOOKUP(B746,Roster!$A$2:$B$5000,2,FALSE),"-")</f>
        <v>-</v>
      </c>
      <c r="D746" s="66"/>
    </row>
    <row r="747" spans="2:4">
      <c r="B747" s="65"/>
      <c r="C747" s="66" t="str">
        <f>IFERROR(VLOOKUP(B747,Roster!$A$2:$B$5000,2,FALSE),"-")</f>
        <v>-</v>
      </c>
      <c r="D747" s="66"/>
    </row>
    <row r="748" spans="2:4">
      <c r="B748" s="65"/>
      <c r="C748" s="66" t="str">
        <f>IFERROR(VLOOKUP(B748,Roster!$A$2:$B$5000,2,FALSE),"-")</f>
        <v>-</v>
      </c>
      <c r="D748" s="66"/>
    </row>
    <row r="749" spans="2:4">
      <c r="B749" s="65"/>
      <c r="C749" s="66" t="str">
        <f>IFERROR(VLOOKUP(B749,Roster!$A$2:$B$5000,2,FALSE),"-")</f>
        <v>-</v>
      </c>
      <c r="D749" s="66"/>
    </row>
    <row r="750" spans="2:4">
      <c r="B750" s="65"/>
      <c r="C750" s="66" t="str">
        <f>IFERROR(VLOOKUP(B750,Roster!$A$2:$B$5000,2,FALSE),"-")</f>
        <v>-</v>
      </c>
      <c r="D750" s="66"/>
    </row>
    <row r="751" spans="2:4">
      <c r="B751" s="65"/>
      <c r="C751" s="66" t="str">
        <f>IFERROR(VLOOKUP(B751,Roster!$A$2:$B$5000,2,FALSE),"-")</f>
        <v>-</v>
      </c>
      <c r="D751" s="66"/>
    </row>
    <row r="752" spans="2:4">
      <c r="B752" s="65"/>
      <c r="C752" s="66" t="str">
        <f>IFERROR(VLOOKUP(B752,Roster!$A$2:$B$5000,2,FALSE),"-")</f>
        <v>-</v>
      </c>
      <c r="D752" s="66"/>
    </row>
    <row r="753" spans="2:4">
      <c r="B753" s="65"/>
      <c r="C753" s="66" t="str">
        <f>IFERROR(VLOOKUP(B753,Roster!$A$2:$B$5000,2,FALSE),"-")</f>
        <v>-</v>
      </c>
      <c r="D753" s="66"/>
    </row>
    <row r="754" spans="2:4">
      <c r="B754" s="65"/>
      <c r="C754" s="66" t="str">
        <f>IFERROR(VLOOKUP(B754,Roster!$A$2:$B$5000,2,FALSE),"-")</f>
        <v>-</v>
      </c>
      <c r="D754" s="66"/>
    </row>
    <row r="755" spans="2:4">
      <c r="B755" s="65"/>
      <c r="C755" s="66" t="str">
        <f>IFERROR(VLOOKUP(B755,Roster!$A$2:$B$5000,2,FALSE),"-")</f>
        <v>-</v>
      </c>
      <c r="D755" s="66"/>
    </row>
    <row r="756" spans="2:4">
      <c r="B756" s="65"/>
      <c r="C756" s="66" t="str">
        <f>IFERROR(VLOOKUP(B756,Roster!$A$2:$B$5000,2,FALSE),"-")</f>
        <v>-</v>
      </c>
      <c r="D756" s="66"/>
    </row>
    <row r="757" spans="2:4">
      <c r="B757" s="65"/>
      <c r="C757" s="66" t="str">
        <f>IFERROR(VLOOKUP(B757,Roster!$A$2:$B$5000,2,FALSE),"-")</f>
        <v>-</v>
      </c>
      <c r="D757" s="66"/>
    </row>
    <row r="758" spans="2:4">
      <c r="B758" s="65"/>
      <c r="C758" s="66" t="str">
        <f>IFERROR(VLOOKUP(B758,Roster!$A$2:$B$5000,2,FALSE),"-")</f>
        <v>-</v>
      </c>
      <c r="D758" s="66"/>
    </row>
    <row r="759" spans="2:4">
      <c r="B759" s="65"/>
      <c r="C759" s="66" t="str">
        <f>IFERROR(VLOOKUP(B759,Roster!$A$2:$B$5000,2,FALSE),"-")</f>
        <v>-</v>
      </c>
      <c r="D759" s="66"/>
    </row>
    <row r="760" spans="2:4">
      <c r="B760" s="65"/>
      <c r="C760" s="66" t="str">
        <f>IFERROR(VLOOKUP(B760,Roster!$A$2:$B$5000,2,FALSE),"-")</f>
        <v>-</v>
      </c>
      <c r="D760" s="66"/>
    </row>
    <row r="761" spans="2:4">
      <c r="B761" s="65"/>
      <c r="C761" s="66" t="str">
        <f>IFERROR(VLOOKUP(B761,Roster!$A$2:$B$5000,2,FALSE),"-")</f>
        <v>-</v>
      </c>
      <c r="D761" s="66"/>
    </row>
    <row r="762" spans="2:4">
      <c r="B762" s="65"/>
      <c r="C762" s="66" t="str">
        <f>IFERROR(VLOOKUP(B762,Roster!$A$2:$B$5000,2,FALSE),"-")</f>
        <v>-</v>
      </c>
      <c r="D762" s="66"/>
    </row>
    <row r="763" spans="2:4">
      <c r="B763" s="65"/>
      <c r="C763" s="66" t="str">
        <f>IFERROR(VLOOKUP(B763,Roster!$A$2:$B$5000,2,FALSE),"-")</f>
        <v>-</v>
      </c>
      <c r="D763" s="66"/>
    </row>
    <row r="764" spans="2:4">
      <c r="B764" s="65"/>
      <c r="C764" s="66" t="str">
        <f>IFERROR(VLOOKUP(B764,Roster!$A$2:$B$5000,2,FALSE),"-")</f>
        <v>-</v>
      </c>
      <c r="D764" s="66"/>
    </row>
    <row r="765" spans="2:4">
      <c r="B765" s="65"/>
      <c r="C765" s="66" t="str">
        <f>IFERROR(VLOOKUP(B765,Roster!$A$2:$B$5000,2,FALSE),"-")</f>
        <v>-</v>
      </c>
      <c r="D765" s="66"/>
    </row>
    <row r="766" spans="2:4">
      <c r="B766" s="65"/>
      <c r="C766" s="66" t="str">
        <f>IFERROR(VLOOKUP(B766,Roster!$A$2:$B$5000,2,FALSE),"-")</f>
        <v>-</v>
      </c>
      <c r="D766" s="66"/>
    </row>
    <row r="767" spans="2:4">
      <c r="B767" s="65"/>
      <c r="C767" s="66" t="str">
        <f>IFERROR(VLOOKUP(B767,Roster!$A$2:$B$5000,2,FALSE),"-")</f>
        <v>-</v>
      </c>
      <c r="D767" s="66"/>
    </row>
    <row r="768" spans="2:4">
      <c r="B768" s="65"/>
      <c r="C768" s="66" t="str">
        <f>IFERROR(VLOOKUP(B768,Roster!$A$2:$B$5000,2,FALSE),"-")</f>
        <v>-</v>
      </c>
      <c r="D768" s="66"/>
    </row>
    <row r="769" spans="2:4">
      <c r="B769" s="65"/>
      <c r="C769" s="66" t="str">
        <f>IFERROR(VLOOKUP(B769,Roster!$A$2:$B$5000,2,FALSE),"-")</f>
        <v>-</v>
      </c>
      <c r="D769" s="66"/>
    </row>
    <row r="770" spans="2:4">
      <c r="B770" s="65"/>
      <c r="C770" s="66" t="str">
        <f>IFERROR(VLOOKUP(B770,Roster!$A$2:$B$5000,2,FALSE),"-")</f>
        <v>-</v>
      </c>
      <c r="D770" s="66"/>
    </row>
    <row r="771" spans="2:4">
      <c r="B771" s="65"/>
      <c r="C771" s="66" t="str">
        <f>IFERROR(VLOOKUP(B771,Roster!$A$2:$B$5000,2,FALSE),"-")</f>
        <v>-</v>
      </c>
      <c r="D771" s="66"/>
    </row>
    <row r="772" spans="2:4">
      <c r="B772" s="65"/>
      <c r="C772" s="66" t="str">
        <f>IFERROR(VLOOKUP(B772,Roster!$A$2:$B$5000,2,FALSE),"-")</f>
        <v>-</v>
      </c>
      <c r="D772" s="66"/>
    </row>
    <row r="773" spans="2:4">
      <c r="B773" s="65"/>
      <c r="C773" s="66" t="str">
        <f>IFERROR(VLOOKUP(B773,Roster!$A$2:$B$5000,2,FALSE),"-")</f>
        <v>-</v>
      </c>
      <c r="D773" s="66"/>
    </row>
    <row r="774" spans="2:4">
      <c r="B774" s="65"/>
      <c r="C774" s="66" t="str">
        <f>IFERROR(VLOOKUP(B774,Roster!$A$2:$B$5000,2,FALSE),"-")</f>
        <v>-</v>
      </c>
      <c r="D774" s="66"/>
    </row>
    <row r="775" spans="2:4">
      <c r="B775" s="65"/>
      <c r="C775" s="66" t="str">
        <f>IFERROR(VLOOKUP(B775,Roster!$A$2:$B$5000,2,FALSE),"-")</f>
        <v>-</v>
      </c>
      <c r="D775" s="66"/>
    </row>
    <row r="776" spans="2:4">
      <c r="B776" s="65"/>
      <c r="C776" s="66" t="str">
        <f>IFERROR(VLOOKUP(B776,Roster!$A$2:$B$5000,2,FALSE),"-")</f>
        <v>-</v>
      </c>
      <c r="D776" s="66"/>
    </row>
    <row r="777" spans="2:4">
      <c r="B777" s="65"/>
      <c r="C777" s="66" t="str">
        <f>IFERROR(VLOOKUP(B777,Roster!$A$2:$B$5000,2,FALSE),"-")</f>
        <v>-</v>
      </c>
      <c r="D777" s="66"/>
    </row>
    <row r="778" spans="2:4">
      <c r="B778" s="65"/>
      <c r="C778" s="66" t="str">
        <f>IFERROR(VLOOKUP(B778,Roster!$A$2:$B$5000,2,FALSE),"-")</f>
        <v>-</v>
      </c>
      <c r="D778" s="66"/>
    </row>
    <row r="779" spans="2:4">
      <c r="B779" s="65"/>
      <c r="C779" s="66" t="str">
        <f>IFERROR(VLOOKUP(B779,Roster!$A$2:$B$5000,2,FALSE),"-")</f>
        <v>-</v>
      </c>
      <c r="D779" s="66"/>
    </row>
    <row r="780" spans="2:4">
      <c r="B780" s="65"/>
      <c r="C780" s="66" t="str">
        <f>IFERROR(VLOOKUP(B780,Roster!$A$2:$B$5000,2,FALSE),"-")</f>
        <v>-</v>
      </c>
      <c r="D780" s="66"/>
    </row>
    <row r="781" spans="2:4">
      <c r="B781" s="65"/>
      <c r="C781" s="66" t="str">
        <f>IFERROR(VLOOKUP(B781,Roster!$A$2:$B$5000,2,FALSE),"-")</f>
        <v>-</v>
      </c>
      <c r="D781" s="66"/>
    </row>
    <row r="782" spans="2:4">
      <c r="B782" s="65"/>
      <c r="C782" s="66" t="str">
        <f>IFERROR(VLOOKUP(B782,Roster!$A$2:$B$5000,2,FALSE),"-")</f>
        <v>-</v>
      </c>
      <c r="D782" s="66"/>
    </row>
    <row r="783" spans="2:4">
      <c r="B783" s="65"/>
      <c r="C783" s="66" t="str">
        <f>IFERROR(VLOOKUP(B783,Roster!$A$2:$B$5000,2,FALSE),"-")</f>
        <v>-</v>
      </c>
      <c r="D783" s="66"/>
    </row>
    <row r="784" spans="2:4">
      <c r="B784" s="65"/>
      <c r="C784" s="66" t="str">
        <f>IFERROR(VLOOKUP(B784,Roster!$A$2:$B$5000,2,FALSE),"-")</f>
        <v>-</v>
      </c>
      <c r="D784" s="66"/>
    </row>
    <row r="785" spans="2:4">
      <c r="B785" s="65"/>
      <c r="C785" s="66" t="str">
        <f>IFERROR(VLOOKUP(B785,Roster!$A$2:$B$5000,2,FALSE),"-")</f>
        <v>-</v>
      </c>
      <c r="D785" s="66"/>
    </row>
    <row r="786" spans="2:4">
      <c r="B786" s="65"/>
      <c r="C786" s="66" t="str">
        <f>IFERROR(VLOOKUP(B786,Roster!$A$2:$B$5000,2,FALSE),"-")</f>
        <v>-</v>
      </c>
      <c r="D786" s="66"/>
    </row>
    <row r="787" spans="2:4">
      <c r="B787" s="65"/>
      <c r="C787" s="66" t="str">
        <f>IFERROR(VLOOKUP(B787,Roster!$A$2:$B$5000,2,FALSE),"-")</f>
        <v>-</v>
      </c>
      <c r="D787" s="66"/>
    </row>
    <row r="788" spans="2:4">
      <c r="B788" s="65"/>
      <c r="C788" s="66" t="str">
        <f>IFERROR(VLOOKUP(B788,Roster!$A$2:$B$5000,2,FALSE),"-")</f>
        <v>-</v>
      </c>
      <c r="D788" s="66"/>
    </row>
    <row r="789" spans="2:4">
      <c r="B789" s="65"/>
      <c r="C789" s="66" t="str">
        <f>IFERROR(VLOOKUP(B789,Roster!$A$2:$B$5000,2,FALSE),"-")</f>
        <v>-</v>
      </c>
      <c r="D789" s="66"/>
    </row>
    <row r="790" spans="2:4">
      <c r="B790" s="65"/>
      <c r="C790" s="66" t="str">
        <f>IFERROR(VLOOKUP(B790,Roster!$A$2:$B$5000,2,FALSE),"-")</f>
        <v>-</v>
      </c>
      <c r="D790" s="66"/>
    </row>
    <row r="791" spans="2:4">
      <c r="B791" s="65"/>
      <c r="C791" s="66" t="str">
        <f>IFERROR(VLOOKUP(B791,Roster!$A$2:$B$5000,2,FALSE),"-")</f>
        <v>-</v>
      </c>
      <c r="D791" s="66"/>
    </row>
    <row r="792" spans="2:4">
      <c r="B792" s="65"/>
      <c r="C792" s="66" t="str">
        <f>IFERROR(VLOOKUP(B792,Roster!$A$2:$B$5000,2,FALSE),"-")</f>
        <v>-</v>
      </c>
      <c r="D792" s="66"/>
    </row>
    <row r="793" spans="2:4">
      <c r="B793" s="65"/>
      <c r="C793" s="66" t="str">
        <f>IFERROR(VLOOKUP(B793,Roster!$A$2:$B$5000,2,FALSE),"-")</f>
        <v>-</v>
      </c>
      <c r="D793" s="66"/>
    </row>
    <row r="794" spans="2:4">
      <c r="B794" s="65"/>
      <c r="C794" s="66" t="str">
        <f>IFERROR(VLOOKUP(B794,Roster!$A$2:$B$5000,2,FALSE),"-")</f>
        <v>-</v>
      </c>
      <c r="D794" s="66"/>
    </row>
    <row r="795" spans="2:4">
      <c r="B795" s="65"/>
      <c r="C795" s="66" t="str">
        <f>IFERROR(VLOOKUP(B795,Roster!$A$2:$B$5000,2,FALSE),"-")</f>
        <v>-</v>
      </c>
      <c r="D795" s="66"/>
    </row>
    <row r="796" spans="2:4">
      <c r="B796" s="65"/>
      <c r="C796" s="66" t="str">
        <f>IFERROR(VLOOKUP(B796,Roster!$A$2:$B$5000,2,FALSE),"-")</f>
        <v>-</v>
      </c>
      <c r="D796" s="66"/>
    </row>
    <row r="797" spans="2:4">
      <c r="B797" s="65"/>
      <c r="C797" s="66" t="str">
        <f>IFERROR(VLOOKUP(B797,Roster!$A$2:$B$5000,2,FALSE),"-")</f>
        <v>-</v>
      </c>
      <c r="D797" s="66"/>
    </row>
    <row r="798" spans="2:4">
      <c r="B798" s="65"/>
      <c r="C798" s="66" t="str">
        <f>IFERROR(VLOOKUP(B798,Roster!$A$2:$B$5000,2,FALSE),"-")</f>
        <v>-</v>
      </c>
      <c r="D798" s="66"/>
    </row>
    <row r="799" spans="2:4">
      <c r="B799" s="65"/>
      <c r="C799" s="66" t="str">
        <f>IFERROR(VLOOKUP(B799,Roster!$A$2:$B$5000,2,FALSE),"-")</f>
        <v>-</v>
      </c>
      <c r="D799" s="66"/>
    </row>
    <row r="800" spans="2:4">
      <c r="B800" s="65"/>
      <c r="C800" s="66" t="str">
        <f>IFERROR(VLOOKUP(B800,Roster!$A$2:$B$5000,2,FALSE),"-")</f>
        <v>-</v>
      </c>
      <c r="D800" s="66"/>
    </row>
    <row r="801" spans="2:4">
      <c r="B801" s="65"/>
      <c r="C801" s="66" t="str">
        <f>IFERROR(VLOOKUP(B801,Roster!$A$2:$B$5000,2,FALSE),"-")</f>
        <v>-</v>
      </c>
      <c r="D801" s="66"/>
    </row>
    <row r="802" spans="2:4">
      <c r="B802" s="65"/>
      <c r="C802" s="66" t="str">
        <f>IFERROR(VLOOKUP(B802,Roster!$A$2:$B$5000,2,FALSE),"-")</f>
        <v>-</v>
      </c>
      <c r="D802" s="66"/>
    </row>
    <row r="803" spans="2:4">
      <c r="B803" s="65"/>
      <c r="C803" s="66" t="str">
        <f>IFERROR(VLOOKUP(B803,Roster!$A$2:$B$5000,2,FALSE),"-")</f>
        <v>-</v>
      </c>
      <c r="D803" s="66"/>
    </row>
    <row r="804" spans="2:4">
      <c r="B804" s="65"/>
      <c r="C804" s="66" t="str">
        <f>IFERROR(VLOOKUP(B804,Roster!$A$2:$B$5000,2,FALSE),"-")</f>
        <v>-</v>
      </c>
      <c r="D804" s="66"/>
    </row>
    <row r="805" spans="2:4">
      <c r="B805" s="65"/>
      <c r="C805" s="66" t="str">
        <f>IFERROR(VLOOKUP(B805,Roster!$A$2:$B$5000,2,FALSE),"-")</f>
        <v>-</v>
      </c>
      <c r="D805" s="66"/>
    </row>
    <row r="806" spans="2:4">
      <c r="B806" s="65"/>
      <c r="C806" s="66" t="str">
        <f>IFERROR(VLOOKUP(B806,Roster!$A$2:$B$5000,2,FALSE),"-")</f>
        <v>-</v>
      </c>
      <c r="D806" s="66"/>
    </row>
    <row r="807" spans="2:4">
      <c r="B807" s="65"/>
      <c r="C807" s="66" t="str">
        <f>IFERROR(VLOOKUP(B807,Roster!$A$2:$B$5000,2,FALSE),"-")</f>
        <v>-</v>
      </c>
      <c r="D807" s="66"/>
    </row>
    <row r="808" spans="2:4">
      <c r="B808" s="65"/>
      <c r="C808" s="66" t="str">
        <f>IFERROR(VLOOKUP(B808,Roster!$A$2:$B$5000,2,FALSE),"-")</f>
        <v>-</v>
      </c>
      <c r="D808" s="66"/>
    </row>
    <row r="809" spans="2:4">
      <c r="B809" s="65"/>
      <c r="C809" s="66" t="str">
        <f>IFERROR(VLOOKUP(B809,Roster!$A$2:$B$5000,2,FALSE),"-")</f>
        <v>-</v>
      </c>
      <c r="D809" s="66"/>
    </row>
    <row r="810" spans="2:4">
      <c r="B810" s="65"/>
      <c r="C810" s="66" t="str">
        <f>IFERROR(VLOOKUP(B810,Roster!$A$2:$B$5000,2,FALSE),"-")</f>
        <v>-</v>
      </c>
      <c r="D810" s="66"/>
    </row>
    <row r="811" spans="2:4">
      <c r="B811" s="65"/>
      <c r="C811" s="66" t="str">
        <f>IFERROR(VLOOKUP(B811,Roster!$A$2:$B$5000,2,FALSE),"-")</f>
        <v>-</v>
      </c>
      <c r="D811" s="66"/>
    </row>
    <row r="812" spans="2:4">
      <c r="B812" s="65"/>
      <c r="C812" s="66" t="str">
        <f>IFERROR(VLOOKUP(B812,Roster!$A$2:$B$5000,2,FALSE),"-")</f>
        <v>-</v>
      </c>
      <c r="D812" s="66"/>
    </row>
    <row r="813" spans="2:4">
      <c r="B813" s="65"/>
      <c r="C813" s="66" t="str">
        <f>IFERROR(VLOOKUP(B813,Roster!$A$2:$B$5000,2,FALSE),"-")</f>
        <v>-</v>
      </c>
      <c r="D813" s="66"/>
    </row>
    <row r="814" spans="2:4">
      <c r="B814" s="65"/>
      <c r="C814" s="66" t="str">
        <f>IFERROR(VLOOKUP(B814,Roster!$A$2:$B$5000,2,FALSE),"-")</f>
        <v>-</v>
      </c>
      <c r="D814" s="66"/>
    </row>
    <row r="815" spans="2:4">
      <c r="B815" s="65"/>
      <c r="C815" s="66" t="str">
        <f>IFERROR(VLOOKUP(B815,Roster!$A$2:$B$5000,2,FALSE),"-")</f>
        <v>-</v>
      </c>
      <c r="D815" s="66"/>
    </row>
    <row r="816" spans="2:4">
      <c r="B816" s="65"/>
      <c r="C816" s="66" t="str">
        <f>IFERROR(VLOOKUP(B816,Roster!$A$2:$B$5000,2,FALSE),"-")</f>
        <v>-</v>
      </c>
      <c r="D816" s="66"/>
    </row>
    <row r="817" spans="2:4">
      <c r="B817" s="65"/>
      <c r="C817" s="66" t="str">
        <f>IFERROR(VLOOKUP(B817,Roster!$A$2:$B$5000,2,FALSE),"-")</f>
        <v>-</v>
      </c>
      <c r="D817" s="66"/>
    </row>
    <row r="818" spans="2:4">
      <c r="B818" s="65"/>
      <c r="C818" s="66" t="str">
        <f>IFERROR(VLOOKUP(B818,Roster!$A$2:$B$5000,2,FALSE),"-")</f>
        <v>-</v>
      </c>
      <c r="D818" s="66"/>
    </row>
    <row r="819" spans="2:4">
      <c r="B819" s="65"/>
      <c r="C819" s="66" t="str">
        <f>IFERROR(VLOOKUP(B819,Roster!$A$2:$B$5000,2,FALSE),"-")</f>
        <v>-</v>
      </c>
      <c r="D819" s="66"/>
    </row>
    <row r="820" spans="2:4">
      <c r="B820" s="65"/>
      <c r="C820" s="66" t="str">
        <f>IFERROR(VLOOKUP(B820,Roster!$A$2:$B$5000,2,FALSE),"-")</f>
        <v>-</v>
      </c>
      <c r="D820" s="66"/>
    </row>
    <row r="821" spans="2:4">
      <c r="B821" s="65"/>
      <c r="C821" s="66" t="str">
        <f>IFERROR(VLOOKUP(B821,Roster!$A$2:$B$5000,2,FALSE),"-")</f>
        <v>-</v>
      </c>
      <c r="D821" s="66"/>
    </row>
    <row r="822" spans="2:4">
      <c r="B822" s="65"/>
      <c r="C822" s="66" t="str">
        <f>IFERROR(VLOOKUP(B822,Roster!$A$2:$B$5000,2,FALSE),"-")</f>
        <v>-</v>
      </c>
      <c r="D822" s="66"/>
    </row>
    <row r="823" spans="2:4">
      <c r="B823" s="65"/>
      <c r="C823" s="66" t="str">
        <f>IFERROR(VLOOKUP(B823,Roster!$A$2:$B$5000,2,FALSE),"-")</f>
        <v>-</v>
      </c>
      <c r="D823" s="66"/>
    </row>
    <row r="824" spans="2:4">
      <c r="B824" s="65"/>
      <c r="C824" s="66" t="str">
        <f>IFERROR(VLOOKUP(B824,Roster!$A$2:$B$5000,2,FALSE),"-")</f>
        <v>-</v>
      </c>
      <c r="D824" s="66"/>
    </row>
    <row r="825" spans="2:4">
      <c r="B825" s="65"/>
      <c r="C825" s="66" t="str">
        <f>IFERROR(VLOOKUP(B825,Roster!$A$2:$B$5000,2,FALSE),"-")</f>
        <v>-</v>
      </c>
      <c r="D825" s="66"/>
    </row>
    <row r="826" spans="2:4">
      <c r="B826" s="65"/>
      <c r="C826" s="66" t="str">
        <f>IFERROR(VLOOKUP(B826,Roster!$A$2:$B$5000,2,FALSE),"-")</f>
        <v>-</v>
      </c>
      <c r="D826" s="66"/>
    </row>
    <row r="827" spans="2:4">
      <c r="B827" s="65"/>
      <c r="C827" s="66" t="str">
        <f>IFERROR(VLOOKUP(B827,Roster!$A$2:$B$5000,2,FALSE),"-")</f>
        <v>-</v>
      </c>
      <c r="D827" s="66"/>
    </row>
    <row r="828" spans="2:4">
      <c r="B828" s="65"/>
      <c r="C828" s="66" t="str">
        <f>IFERROR(VLOOKUP(B828,Roster!$A$2:$B$5000,2,FALSE),"-")</f>
        <v>-</v>
      </c>
      <c r="D828" s="66"/>
    </row>
    <row r="829" spans="2:4">
      <c r="B829" s="65"/>
      <c r="C829" s="66" t="str">
        <f>IFERROR(VLOOKUP(B829,Roster!$A$2:$B$5000,2,FALSE),"-")</f>
        <v>-</v>
      </c>
      <c r="D829" s="66"/>
    </row>
    <row r="830" spans="2:4">
      <c r="B830" s="65"/>
      <c r="C830" s="66" t="str">
        <f>IFERROR(VLOOKUP(B830,Roster!$A$2:$B$5000,2,FALSE),"-")</f>
        <v>-</v>
      </c>
      <c r="D830" s="66"/>
    </row>
    <row r="831" spans="2:4">
      <c r="B831" s="65"/>
      <c r="C831" s="66" t="str">
        <f>IFERROR(VLOOKUP(B831,Roster!$A$2:$B$5000,2,FALSE),"-")</f>
        <v>-</v>
      </c>
      <c r="D831" s="66"/>
    </row>
    <row r="832" spans="2:4">
      <c r="B832" s="65"/>
      <c r="C832" s="66" t="str">
        <f>IFERROR(VLOOKUP(B832,Roster!$A$2:$B$5000,2,FALSE),"-")</f>
        <v>-</v>
      </c>
      <c r="D832" s="66"/>
    </row>
    <row r="833" spans="2:4">
      <c r="B833" s="65"/>
      <c r="C833" s="66" t="str">
        <f>IFERROR(VLOOKUP(B833,Roster!$A$2:$B$5000,2,FALSE),"-")</f>
        <v>-</v>
      </c>
      <c r="D833" s="66"/>
    </row>
    <row r="834" spans="2:4">
      <c r="B834" s="65"/>
      <c r="C834" s="66" t="str">
        <f>IFERROR(VLOOKUP(B834,Roster!$A$2:$B$5000,2,FALSE),"-")</f>
        <v>-</v>
      </c>
      <c r="D834" s="66"/>
    </row>
    <row r="835" spans="2:4">
      <c r="B835" s="65"/>
      <c r="C835" s="66" t="str">
        <f>IFERROR(VLOOKUP(B835,Roster!$A$2:$B$5000,2,FALSE),"-")</f>
        <v>-</v>
      </c>
      <c r="D835" s="66"/>
    </row>
    <row r="836" spans="2:4">
      <c r="B836" s="65"/>
      <c r="C836" s="66" t="str">
        <f>IFERROR(VLOOKUP(B836,Roster!$A$2:$B$5000,2,FALSE),"-")</f>
        <v>-</v>
      </c>
      <c r="D836" s="66"/>
    </row>
    <row r="837" spans="2:4">
      <c r="B837" s="65"/>
      <c r="C837" s="66" t="str">
        <f>IFERROR(VLOOKUP(B837,Roster!$A$2:$B$5000,2,FALSE),"-")</f>
        <v>-</v>
      </c>
      <c r="D837" s="66"/>
    </row>
    <row r="838" spans="2:4">
      <c r="B838" s="65"/>
      <c r="C838" s="66" t="str">
        <f>IFERROR(VLOOKUP(B838,Roster!$A$2:$B$5000,2,FALSE),"-")</f>
        <v>-</v>
      </c>
      <c r="D838" s="66"/>
    </row>
    <row r="839" spans="2:4">
      <c r="B839" s="65"/>
      <c r="C839" s="66" t="str">
        <f>IFERROR(VLOOKUP(B839,Roster!$A$2:$B$5000,2,FALSE),"-")</f>
        <v>-</v>
      </c>
      <c r="D839" s="66"/>
    </row>
    <row r="840" spans="2:4">
      <c r="B840" s="65"/>
      <c r="C840" s="66" t="str">
        <f>IFERROR(VLOOKUP(B840,Roster!$A$2:$B$5000,2,FALSE),"-")</f>
        <v>-</v>
      </c>
      <c r="D840" s="66"/>
    </row>
    <row r="841" spans="2:4">
      <c r="B841" s="65"/>
      <c r="C841" s="66" t="str">
        <f>IFERROR(VLOOKUP(B841,Roster!$A$2:$B$5000,2,FALSE),"-")</f>
        <v>-</v>
      </c>
      <c r="D841" s="66"/>
    </row>
    <row r="842" spans="2:4">
      <c r="B842" s="65"/>
      <c r="C842" s="66" t="str">
        <f>IFERROR(VLOOKUP(B842,Roster!$A$2:$B$5000,2,FALSE),"-")</f>
        <v>-</v>
      </c>
      <c r="D842" s="66"/>
    </row>
    <row r="843" spans="2:4">
      <c r="B843" s="65"/>
      <c r="C843" s="66" t="str">
        <f>IFERROR(VLOOKUP(B843,Roster!$A$2:$B$5000,2,FALSE),"-")</f>
        <v>-</v>
      </c>
      <c r="D843" s="66"/>
    </row>
    <row r="844" spans="2:4">
      <c r="B844" s="65"/>
      <c r="C844" s="66" t="str">
        <f>IFERROR(VLOOKUP(B844,Roster!$A$2:$B$5000,2,FALSE),"-")</f>
        <v>-</v>
      </c>
      <c r="D844" s="66"/>
    </row>
    <row r="845" spans="2:4">
      <c r="B845" s="65"/>
      <c r="C845" s="66" t="str">
        <f>IFERROR(VLOOKUP(B845,Roster!$A$2:$B$5000,2,FALSE),"-")</f>
        <v>-</v>
      </c>
      <c r="D845" s="66"/>
    </row>
    <row r="846" spans="2:4">
      <c r="B846" s="65"/>
      <c r="C846" s="66" t="str">
        <f>IFERROR(VLOOKUP(B846,Roster!$A$2:$B$5000,2,FALSE),"-")</f>
        <v>-</v>
      </c>
      <c r="D846" s="66"/>
    </row>
    <row r="847" spans="2:4">
      <c r="B847" s="65"/>
      <c r="C847" s="66" t="str">
        <f>IFERROR(VLOOKUP(B847,Roster!$A$2:$B$5000,2,FALSE),"-")</f>
        <v>-</v>
      </c>
      <c r="D847" s="66"/>
    </row>
    <row r="848" spans="2:4">
      <c r="B848" s="65"/>
      <c r="C848" s="66" t="str">
        <f>IFERROR(VLOOKUP(B848,Roster!$A$2:$B$5000,2,FALSE),"-")</f>
        <v>-</v>
      </c>
      <c r="D848" s="66"/>
    </row>
    <row r="849" spans="2:4">
      <c r="B849" s="65"/>
      <c r="C849" s="66" t="str">
        <f>IFERROR(VLOOKUP(B849,Roster!$A$2:$B$5000,2,FALSE),"-")</f>
        <v>-</v>
      </c>
      <c r="D849" s="66"/>
    </row>
    <row r="850" spans="2:4">
      <c r="B850" s="65"/>
      <c r="C850" s="66" t="str">
        <f>IFERROR(VLOOKUP(B850,Roster!$A$2:$B$5000,2,FALSE),"-")</f>
        <v>-</v>
      </c>
      <c r="D850" s="66"/>
    </row>
    <row r="851" spans="2:4">
      <c r="B851" s="65"/>
      <c r="C851" s="66" t="str">
        <f>IFERROR(VLOOKUP(B851,Roster!$A$2:$B$5000,2,FALSE),"-")</f>
        <v>-</v>
      </c>
      <c r="D851" s="66"/>
    </row>
    <row r="852" spans="2:4">
      <c r="B852" s="65"/>
      <c r="C852" s="66" t="str">
        <f>IFERROR(VLOOKUP(B852,Roster!$A$2:$B$5000,2,FALSE),"-")</f>
        <v>-</v>
      </c>
      <c r="D852" s="66"/>
    </row>
    <row r="853" spans="2:4">
      <c r="B853" s="65"/>
      <c r="C853" s="66" t="str">
        <f>IFERROR(VLOOKUP(B853,Roster!$A$2:$B$5000,2,FALSE),"-")</f>
        <v>-</v>
      </c>
      <c r="D853" s="66"/>
    </row>
    <row r="854" spans="2:4">
      <c r="B854" s="65"/>
      <c r="C854" s="66" t="str">
        <f>IFERROR(VLOOKUP(B854,Roster!$A$2:$B$5000,2,FALSE),"-")</f>
        <v>-</v>
      </c>
      <c r="D854" s="66"/>
    </row>
    <row r="855" spans="2:4">
      <c r="B855" s="65"/>
      <c r="C855" s="66" t="str">
        <f>IFERROR(VLOOKUP(B855,Roster!$A$2:$B$5000,2,FALSE),"-")</f>
        <v>-</v>
      </c>
      <c r="D855" s="66"/>
    </row>
    <row r="856" spans="2:4">
      <c r="B856" s="65"/>
      <c r="C856" s="66" t="str">
        <f>IFERROR(VLOOKUP(B856,Roster!$A$2:$B$5000,2,FALSE),"-")</f>
        <v>-</v>
      </c>
      <c r="D856" s="66"/>
    </row>
    <row r="857" spans="2:4">
      <c r="B857" s="65"/>
      <c r="C857" s="66" t="str">
        <f>IFERROR(VLOOKUP(B857,Roster!$A$2:$B$5000,2,FALSE),"-")</f>
        <v>-</v>
      </c>
      <c r="D857" s="66"/>
    </row>
    <row r="858" spans="2:4">
      <c r="B858" s="65"/>
      <c r="C858" s="66" t="str">
        <f>IFERROR(VLOOKUP(B858,Roster!$A$2:$B$5000,2,FALSE),"-")</f>
        <v>-</v>
      </c>
      <c r="D858" s="66"/>
    </row>
    <row r="859" spans="2:4">
      <c r="B859" s="65"/>
      <c r="C859" s="66" t="str">
        <f>IFERROR(VLOOKUP(B859,Roster!$A$2:$B$5000,2,FALSE),"-")</f>
        <v>-</v>
      </c>
      <c r="D859" s="66"/>
    </row>
    <row r="860" spans="2:4">
      <c r="B860" s="65"/>
      <c r="C860" s="66" t="str">
        <f>IFERROR(VLOOKUP(B860,Roster!$A$2:$B$5000,2,FALSE),"-")</f>
        <v>-</v>
      </c>
      <c r="D860" s="66"/>
    </row>
    <row r="861" spans="2:4">
      <c r="B861" s="65"/>
      <c r="C861" s="66" t="str">
        <f>IFERROR(VLOOKUP(B861,Roster!$A$2:$B$5000,2,FALSE),"-")</f>
        <v>-</v>
      </c>
      <c r="D861" s="66"/>
    </row>
    <row r="862" spans="2:4">
      <c r="B862" s="65"/>
      <c r="C862" s="66" t="str">
        <f>IFERROR(VLOOKUP(B862,Roster!$A$2:$B$5000,2,FALSE),"-")</f>
        <v>-</v>
      </c>
      <c r="D862" s="66"/>
    </row>
    <row r="863" spans="2:4">
      <c r="B863" s="65"/>
      <c r="C863" s="66" t="str">
        <f>IFERROR(VLOOKUP(B863,Roster!$A$2:$B$5000,2,FALSE),"-")</f>
        <v>-</v>
      </c>
      <c r="D863" s="66"/>
    </row>
    <row r="864" spans="2:4">
      <c r="B864" s="65"/>
      <c r="C864" s="66" t="str">
        <f>IFERROR(VLOOKUP(B864,Roster!$A$2:$B$5000,2,FALSE),"-")</f>
        <v>-</v>
      </c>
      <c r="D864" s="66"/>
    </row>
    <row r="865" spans="2:4">
      <c r="B865" s="65"/>
      <c r="C865" s="66" t="str">
        <f>IFERROR(VLOOKUP(B865,Roster!$A$2:$B$5000,2,FALSE),"-")</f>
        <v>-</v>
      </c>
      <c r="D865" s="66"/>
    </row>
    <row r="866" spans="2:4">
      <c r="B866" s="65"/>
      <c r="C866" s="66" t="str">
        <f>IFERROR(VLOOKUP(B866,Roster!$A$2:$B$5000,2,FALSE),"-")</f>
        <v>-</v>
      </c>
      <c r="D866" s="66"/>
    </row>
    <row r="867" spans="2:4">
      <c r="B867" s="65"/>
      <c r="C867" s="66" t="str">
        <f>IFERROR(VLOOKUP(B867,Roster!$A$2:$B$5000,2,FALSE),"-")</f>
        <v>-</v>
      </c>
      <c r="D867" s="66"/>
    </row>
    <row r="868" spans="2:4">
      <c r="B868" s="65"/>
      <c r="C868" s="66" t="str">
        <f>IFERROR(VLOOKUP(B868,Roster!$A$2:$B$5000,2,FALSE),"-")</f>
        <v>-</v>
      </c>
      <c r="D868" s="66"/>
    </row>
    <row r="869" spans="2:4">
      <c r="B869" s="65"/>
      <c r="C869" s="66" t="str">
        <f>IFERROR(VLOOKUP(B869,Roster!$A$2:$B$5000,2,FALSE),"-")</f>
        <v>-</v>
      </c>
      <c r="D869" s="66"/>
    </row>
    <row r="870" spans="2:4">
      <c r="B870" s="65"/>
      <c r="C870" s="66" t="str">
        <f>IFERROR(VLOOKUP(B870,Roster!$A$2:$B$5000,2,FALSE),"-")</f>
        <v>-</v>
      </c>
      <c r="D870" s="66"/>
    </row>
    <row r="871" spans="2:4">
      <c r="B871" s="65"/>
      <c r="C871" s="66" t="str">
        <f>IFERROR(VLOOKUP(B871,Roster!$A$2:$B$5000,2,FALSE),"-")</f>
        <v>-</v>
      </c>
      <c r="D871" s="66"/>
    </row>
    <row r="872" spans="2:4">
      <c r="B872" s="65"/>
      <c r="C872" s="66" t="str">
        <f>IFERROR(VLOOKUP(B872,Roster!$A$2:$B$5000,2,FALSE),"-")</f>
        <v>-</v>
      </c>
      <c r="D872" s="66"/>
    </row>
    <row r="873" spans="2:4">
      <c r="B873" s="65"/>
      <c r="C873" s="66" t="str">
        <f>IFERROR(VLOOKUP(B873,Roster!$A$2:$B$5000,2,FALSE),"-")</f>
        <v>-</v>
      </c>
      <c r="D873" s="66"/>
    </row>
    <row r="874" spans="2:4">
      <c r="B874" s="65"/>
      <c r="C874" s="66" t="str">
        <f>IFERROR(VLOOKUP(B874,Roster!$A$2:$B$5000,2,FALSE),"-")</f>
        <v>-</v>
      </c>
      <c r="D874" s="66"/>
    </row>
    <row r="875" spans="2:4">
      <c r="B875" s="65"/>
      <c r="C875" s="66" t="str">
        <f>IFERROR(VLOOKUP(B875,Roster!$A$2:$B$5000,2,FALSE),"-")</f>
        <v>-</v>
      </c>
      <c r="D875" s="66"/>
    </row>
    <row r="876" spans="2:4">
      <c r="B876" s="65"/>
      <c r="C876" s="66" t="str">
        <f>IFERROR(VLOOKUP(B876,Roster!$A$2:$B$5000,2,FALSE),"-")</f>
        <v>-</v>
      </c>
      <c r="D876" s="66"/>
    </row>
    <row r="877" spans="2:4">
      <c r="B877" s="65"/>
      <c r="C877" s="66" t="str">
        <f>IFERROR(VLOOKUP(B877,Roster!$A$2:$B$5000,2,FALSE),"-")</f>
        <v>-</v>
      </c>
      <c r="D877" s="66"/>
    </row>
    <row r="878" spans="2:4">
      <c r="B878" s="65"/>
      <c r="C878" s="66" t="str">
        <f>IFERROR(VLOOKUP(B878,Roster!$A$2:$B$5000,2,FALSE),"-")</f>
        <v>-</v>
      </c>
      <c r="D878" s="66"/>
    </row>
    <row r="879" spans="2:4">
      <c r="B879" s="65"/>
      <c r="C879" s="66" t="str">
        <f>IFERROR(VLOOKUP(B879,Roster!$A$2:$B$5000,2,FALSE),"-")</f>
        <v>-</v>
      </c>
      <c r="D879" s="66"/>
    </row>
    <row r="880" spans="2:4">
      <c r="B880" s="65"/>
      <c r="C880" s="66" t="str">
        <f>IFERROR(VLOOKUP(B880,Roster!$A$2:$B$5000,2,FALSE),"-")</f>
        <v>-</v>
      </c>
      <c r="D880" s="66"/>
    </row>
    <row r="881" spans="2:4">
      <c r="B881" s="65"/>
      <c r="C881" s="66" t="str">
        <f>IFERROR(VLOOKUP(B881,Roster!$A$2:$B$5000,2,FALSE),"-")</f>
        <v>-</v>
      </c>
      <c r="D881" s="66"/>
    </row>
    <row r="882" spans="2:4">
      <c r="B882" s="65"/>
      <c r="C882" s="66" t="str">
        <f>IFERROR(VLOOKUP(B882,Roster!$A$2:$B$5000,2,FALSE),"-")</f>
        <v>-</v>
      </c>
      <c r="D882" s="66"/>
    </row>
    <row r="883" spans="2:4">
      <c r="B883" s="65"/>
      <c r="C883" s="66" t="str">
        <f>IFERROR(VLOOKUP(B883,Roster!$A$2:$B$5000,2,FALSE),"-")</f>
        <v>-</v>
      </c>
      <c r="D883" s="66"/>
    </row>
    <row r="884" spans="2:4">
      <c r="B884" s="65"/>
      <c r="C884" s="66" t="str">
        <f>IFERROR(VLOOKUP(B884,Roster!$A$2:$B$5000,2,FALSE),"-")</f>
        <v>-</v>
      </c>
      <c r="D884" s="66"/>
    </row>
    <row r="885" spans="2:4">
      <c r="B885" s="65"/>
      <c r="C885" s="66" t="str">
        <f>IFERROR(VLOOKUP(B885,Roster!$A$2:$B$5000,2,FALSE),"-")</f>
        <v>-</v>
      </c>
      <c r="D885" s="66"/>
    </row>
    <row r="886" spans="2:4">
      <c r="B886" s="65"/>
      <c r="C886" s="66" t="str">
        <f>IFERROR(VLOOKUP(B886,Roster!$A$2:$B$5000,2,FALSE),"-")</f>
        <v>-</v>
      </c>
      <c r="D886" s="66"/>
    </row>
    <row r="887" spans="2:4">
      <c r="B887" s="65"/>
      <c r="C887" s="66" t="str">
        <f>IFERROR(VLOOKUP(B887,Roster!$A$2:$B$5000,2,FALSE),"-")</f>
        <v>-</v>
      </c>
      <c r="D887" s="66"/>
    </row>
    <row r="888" spans="2:4">
      <c r="B888" s="65"/>
      <c r="C888" s="66" t="str">
        <f>IFERROR(VLOOKUP(B888,Roster!$A$2:$B$5000,2,FALSE),"-")</f>
        <v>-</v>
      </c>
      <c r="D888" s="66"/>
    </row>
    <row r="889" spans="2:4">
      <c r="B889" s="65"/>
      <c r="C889" s="66" t="str">
        <f>IFERROR(VLOOKUP(B889,Roster!$A$2:$B$5000,2,FALSE),"-")</f>
        <v>-</v>
      </c>
      <c r="D889" s="66"/>
    </row>
    <row r="890" spans="2:4">
      <c r="B890" s="65"/>
      <c r="C890" s="66" t="str">
        <f>IFERROR(VLOOKUP(B890,Roster!$A$2:$B$5000,2,FALSE),"-")</f>
        <v>-</v>
      </c>
      <c r="D890" s="66"/>
    </row>
    <row r="891" spans="2:4">
      <c r="B891" s="65"/>
      <c r="C891" s="66" t="str">
        <f>IFERROR(VLOOKUP(B891,Roster!$A$2:$B$5000,2,FALSE),"-")</f>
        <v>-</v>
      </c>
      <c r="D891" s="66"/>
    </row>
    <row r="892" spans="2:4">
      <c r="B892" s="65"/>
      <c r="C892" s="66" t="str">
        <f>IFERROR(VLOOKUP(B892,Roster!$A$2:$B$5000,2,FALSE),"-")</f>
        <v>-</v>
      </c>
      <c r="D892" s="66"/>
    </row>
    <row r="893" spans="2:4">
      <c r="B893" s="65"/>
      <c r="C893" s="66" t="str">
        <f>IFERROR(VLOOKUP(B893,Roster!$A$2:$B$5000,2,FALSE),"-")</f>
        <v>-</v>
      </c>
      <c r="D893" s="66"/>
    </row>
    <row r="894" spans="2:4">
      <c r="B894" s="65"/>
      <c r="C894" s="66" t="str">
        <f>IFERROR(VLOOKUP(B894,Roster!$A$2:$B$5000,2,FALSE),"-")</f>
        <v>-</v>
      </c>
      <c r="D894" s="66"/>
    </row>
    <row r="895" spans="2:4">
      <c r="B895" s="65"/>
      <c r="C895" s="66" t="str">
        <f>IFERROR(VLOOKUP(B895,Roster!$A$2:$B$5000,2,FALSE),"-")</f>
        <v>-</v>
      </c>
      <c r="D895" s="66"/>
    </row>
    <row r="896" spans="2:4">
      <c r="B896" s="65"/>
      <c r="C896" s="66" t="str">
        <f>IFERROR(VLOOKUP(B896,Roster!$A$2:$B$5000,2,FALSE),"-")</f>
        <v>-</v>
      </c>
      <c r="D896" s="66"/>
    </row>
    <row r="897" spans="2:4">
      <c r="B897" s="65"/>
      <c r="C897" s="66" t="str">
        <f>IFERROR(VLOOKUP(B897,Roster!$A$2:$B$5000,2,FALSE),"-")</f>
        <v>-</v>
      </c>
      <c r="D897" s="66"/>
    </row>
    <row r="898" spans="2:4">
      <c r="B898" s="65"/>
      <c r="C898" s="66" t="str">
        <f>IFERROR(VLOOKUP(B898,Roster!$A$2:$B$5000,2,FALSE),"-")</f>
        <v>-</v>
      </c>
      <c r="D898" s="66"/>
    </row>
    <row r="899" spans="2:4">
      <c r="B899" s="65"/>
      <c r="C899" s="66" t="str">
        <f>IFERROR(VLOOKUP(B899,Roster!$A$2:$B$5000,2,FALSE),"-")</f>
        <v>-</v>
      </c>
      <c r="D899" s="66"/>
    </row>
    <row r="900" spans="2:4">
      <c r="B900" s="65"/>
      <c r="C900" s="66" t="str">
        <f>IFERROR(VLOOKUP(B900,Roster!$A$2:$B$5000,2,FALSE),"-")</f>
        <v>-</v>
      </c>
      <c r="D900" s="66"/>
    </row>
    <row r="901" spans="2:4">
      <c r="B901" s="65"/>
      <c r="C901" s="66" t="str">
        <f>IFERROR(VLOOKUP(B901,Roster!$A$2:$B$5000,2,FALSE),"-")</f>
        <v>-</v>
      </c>
      <c r="D901" s="66"/>
    </row>
    <row r="902" spans="2:4">
      <c r="B902" s="65"/>
      <c r="C902" s="66" t="str">
        <f>IFERROR(VLOOKUP(B902,Roster!$A$2:$B$5000,2,FALSE),"-")</f>
        <v>-</v>
      </c>
      <c r="D902" s="66"/>
    </row>
    <row r="903" spans="2:4">
      <c r="B903" s="65"/>
      <c r="C903" s="66" t="str">
        <f>IFERROR(VLOOKUP(B903,Roster!$A$2:$B$5000,2,FALSE),"-")</f>
        <v>-</v>
      </c>
      <c r="D903" s="66"/>
    </row>
    <row r="904" spans="2:4">
      <c r="B904" s="65"/>
      <c r="C904" s="66" t="str">
        <f>IFERROR(VLOOKUP(B904,Roster!$A$2:$B$5000,2,FALSE),"-")</f>
        <v>-</v>
      </c>
      <c r="D904" s="66"/>
    </row>
    <row r="905" spans="2:4">
      <c r="B905" s="65"/>
      <c r="C905" s="66" t="str">
        <f>IFERROR(VLOOKUP(B905,Roster!$A$2:$B$5000,2,FALSE),"-")</f>
        <v>-</v>
      </c>
      <c r="D905" s="66"/>
    </row>
    <row r="906" spans="2:4">
      <c r="B906" s="65"/>
      <c r="C906" s="66" t="str">
        <f>IFERROR(VLOOKUP(B906,Roster!$A$2:$B$5000,2,FALSE),"-")</f>
        <v>-</v>
      </c>
      <c r="D906" s="66"/>
    </row>
    <row r="907" spans="2:4">
      <c r="B907" s="65"/>
      <c r="C907" s="66" t="str">
        <f>IFERROR(VLOOKUP(B907,Roster!$A$2:$B$5000,2,FALSE),"-")</f>
        <v>-</v>
      </c>
      <c r="D907" s="66"/>
    </row>
    <row r="908" spans="2:4">
      <c r="B908" s="65"/>
      <c r="C908" s="66" t="str">
        <f>IFERROR(VLOOKUP(B908,Roster!$A$2:$B$5000,2,FALSE),"-")</f>
        <v>-</v>
      </c>
      <c r="D908" s="66"/>
    </row>
    <row r="909" spans="2:4">
      <c r="B909" s="65"/>
      <c r="C909" s="66" t="str">
        <f>IFERROR(VLOOKUP(B909,Roster!$A$2:$B$5000,2,FALSE),"-")</f>
        <v>-</v>
      </c>
      <c r="D909" s="66"/>
    </row>
    <row r="910" spans="2:4">
      <c r="B910" s="65"/>
      <c r="C910" s="66" t="str">
        <f>IFERROR(VLOOKUP(B910,Roster!$A$2:$B$5000,2,FALSE),"-")</f>
        <v>-</v>
      </c>
      <c r="D910" s="66"/>
    </row>
    <row r="911" spans="2:4">
      <c r="B911" s="65"/>
      <c r="C911" s="66" t="str">
        <f>IFERROR(VLOOKUP(B911,Roster!$A$2:$B$5000,2,FALSE),"-")</f>
        <v>-</v>
      </c>
      <c r="D911" s="66"/>
    </row>
    <row r="912" spans="2:4">
      <c r="B912" s="65"/>
      <c r="C912" s="66" t="str">
        <f>IFERROR(VLOOKUP(B912,Roster!$A$2:$B$5000,2,FALSE),"-")</f>
        <v>-</v>
      </c>
      <c r="D912" s="66"/>
    </row>
    <row r="913" spans="2:4">
      <c r="B913" s="65"/>
      <c r="C913" s="66" t="str">
        <f>IFERROR(VLOOKUP(B913,Roster!$A$2:$B$5000,2,FALSE),"-")</f>
        <v>-</v>
      </c>
      <c r="D913" s="66"/>
    </row>
    <row r="914" spans="2:4">
      <c r="B914" s="65"/>
      <c r="C914" s="66" t="str">
        <f>IFERROR(VLOOKUP(B914,Roster!$A$2:$B$5000,2,FALSE),"-")</f>
        <v>-</v>
      </c>
      <c r="D914" s="66"/>
    </row>
    <row r="915" spans="2:4">
      <c r="B915" s="65"/>
      <c r="C915" s="66" t="str">
        <f>IFERROR(VLOOKUP(B915,Roster!$A$2:$B$5000,2,FALSE),"-")</f>
        <v>-</v>
      </c>
      <c r="D915" s="66"/>
    </row>
    <row r="916" spans="2:4">
      <c r="B916" s="65"/>
      <c r="C916" s="66" t="str">
        <f>IFERROR(VLOOKUP(B916,Roster!$A$2:$B$5000,2,FALSE),"-")</f>
        <v>-</v>
      </c>
      <c r="D916" s="66"/>
    </row>
    <row r="917" spans="2:4">
      <c r="B917" s="65"/>
      <c r="C917" s="66" t="str">
        <f>IFERROR(VLOOKUP(B917,Roster!$A$2:$B$5000,2,FALSE),"-")</f>
        <v>-</v>
      </c>
      <c r="D917" s="66"/>
    </row>
    <row r="918" spans="2:4">
      <c r="B918" s="65"/>
      <c r="C918" s="66" t="str">
        <f>IFERROR(VLOOKUP(B918,Roster!$A$2:$B$5000,2,FALSE),"-")</f>
        <v>-</v>
      </c>
      <c r="D918" s="66"/>
    </row>
    <row r="919" spans="2:4">
      <c r="B919" s="65"/>
      <c r="C919" s="66" t="str">
        <f>IFERROR(VLOOKUP(B919,Roster!$A$2:$B$5000,2,FALSE),"-")</f>
        <v>-</v>
      </c>
      <c r="D919" s="66"/>
    </row>
    <row r="920" spans="2:4">
      <c r="B920" s="65"/>
      <c r="C920" s="66" t="str">
        <f>IFERROR(VLOOKUP(B920,Roster!$A$2:$B$5000,2,FALSE),"-")</f>
        <v>-</v>
      </c>
      <c r="D920" s="66"/>
    </row>
    <row r="921" spans="2:4">
      <c r="B921" s="65"/>
      <c r="C921" s="66" t="str">
        <f>IFERROR(VLOOKUP(B921,Roster!$A$2:$B$5000,2,FALSE),"-")</f>
        <v>-</v>
      </c>
      <c r="D921" s="66"/>
    </row>
    <row r="922" spans="2:4">
      <c r="B922" s="65"/>
      <c r="C922" s="66" t="str">
        <f>IFERROR(VLOOKUP(B922,Roster!$A$2:$B$5000,2,FALSE),"-")</f>
        <v>-</v>
      </c>
      <c r="D922" s="66"/>
    </row>
    <row r="923" spans="2:4">
      <c r="B923" s="65"/>
      <c r="C923" s="66" t="str">
        <f>IFERROR(VLOOKUP(B923,Roster!$A$2:$B$5000,2,FALSE),"-")</f>
        <v>-</v>
      </c>
      <c r="D923" s="66"/>
    </row>
    <row r="924" spans="2:4">
      <c r="B924" s="65"/>
      <c r="C924" s="66" t="str">
        <f>IFERROR(VLOOKUP(B924,Roster!$A$2:$B$5000,2,FALSE),"-")</f>
        <v>-</v>
      </c>
      <c r="D924" s="66"/>
    </row>
    <row r="925" spans="2:4">
      <c r="B925" s="65"/>
      <c r="C925" s="66" t="str">
        <f>IFERROR(VLOOKUP(B925,Roster!$A$2:$B$5000,2,FALSE),"-")</f>
        <v>-</v>
      </c>
      <c r="D925" s="66"/>
    </row>
    <row r="926" spans="2:4">
      <c r="B926" s="65"/>
      <c r="C926" s="66" t="str">
        <f>IFERROR(VLOOKUP(B926,Roster!$A$2:$B$5000,2,FALSE),"-")</f>
        <v>-</v>
      </c>
      <c r="D926" s="66"/>
    </row>
    <row r="927" spans="2:4">
      <c r="B927" s="65"/>
      <c r="C927" s="66" t="str">
        <f>IFERROR(VLOOKUP(B927,Roster!$A$2:$B$5000,2,FALSE),"-")</f>
        <v>-</v>
      </c>
      <c r="D927" s="66"/>
    </row>
    <row r="928" spans="2:4">
      <c r="B928" s="65"/>
      <c r="C928" s="66" t="str">
        <f>IFERROR(VLOOKUP(B928,Roster!$A$2:$B$5000,2,FALSE),"-")</f>
        <v>-</v>
      </c>
      <c r="D928" s="66"/>
    </row>
    <row r="929" spans="2:4">
      <c r="B929" s="65"/>
      <c r="C929" s="66" t="str">
        <f>IFERROR(VLOOKUP(B929,Roster!$A$2:$B$5000,2,FALSE),"-")</f>
        <v>-</v>
      </c>
      <c r="D929" s="66"/>
    </row>
    <row r="930" spans="2:4">
      <c r="B930" s="65"/>
      <c r="C930" s="66" t="str">
        <f>IFERROR(VLOOKUP(B930,Roster!$A$2:$B$5000,2,FALSE),"-")</f>
        <v>-</v>
      </c>
      <c r="D930" s="66"/>
    </row>
    <row r="931" spans="2:4">
      <c r="B931" s="65"/>
      <c r="C931" s="66" t="str">
        <f>IFERROR(VLOOKUP(B931,Roster!$A$2:$B$5000,2,FALSE),"-")</f>
        <v>-</v>
      </c>
      <c r="D931" s="66"/>
    </row>
    <row r="932" spans="2:4">
      <c r="B932" s="65"/>
      <c r="C932" s="66" t="str">
        <f>IFERROR(VLOOKUP(B932,Roster!$A$2:$B$5000,2,FALSE),"-")</f>
        <v>-</v>
      </c>
      <c r="D932" s="66"/>
    </row>
    <row r="933" spans="2:4">
      <c r="B933" s="65"/>
      <c r="C933" s="66" t="str">
        <f>IFERROR(VLOOKUP(B933,Roster!$A$2:$B$5000,2,FALSE),"-")</f>
        <v>-</v>
      </c>
      <c r="D933" s="66"/>
    </row>
    <row r="934" spans="2:4">
      <c r="B934" s="65"/>
      <c r="C934" s="66" t="str">
        <f>IFERROR(VLOOKUP(B934,Roster!$A$2:$B$5000,2,FALSE),"-")</f>
        <v>-</v>
      </c>
      <c r="D934" s="66"/>
    </row>
    <row r="935" spans="2:4">
      <c r="B935" s="65"/>
      <c r="C935" s="66" t="str">
        <f>IFERROR(VLOOKUP(B935,Roster!$A$2:$B$5000,2,FALSE),"-")</f>
        <v>-</v>
      </c>
      <c r="D935" s="66"/>
    </row>
    <row r="936" spans="2:4">
      <c r="B936" s="65"/>
      <c r="C936" s="66" t="str">
        <f>IFERROR(VLOOKUP(B936,Roster!$A$2:$B$5000,2,FALSE),"-")</f>
        <v>-</v>
      </c>
      <c r="D936" s="66"/>
    </row>
    <row r="937" spans="2:4">
      <c r="B937" s="65"/>
      <c r="C937" s="66" t="str">
        <f>IFERROR(VLOOKUP(B937,Roster!$A$2:$B$5000,2,FALSE),"-")</f>
        <v>-</v>
      </c>
      <c r="D937" s="66"/>
    </row>
    <row r="938" spans="2:4">
      <c r="B938" s="65"/>
      <c r="C938" s="66" t="str">
        <f>IFERROR(VLOOKUP(B938,Roster!$A$2:$B$5000,2,FALSE),"-")</f>
        <v>-</v>
      </c>
      <c r="D938" s="66"/>
    </row>
    <row r="939" spans="2:4">
      <c r="B939" s="65"/>
      <c r="C939" s="66" t="str">
        <f>IFERROR(VLOOKUP(B939,Roster!$A$2:$B$5000,2,FALSE),"-")</f>
        <v>-</v>
      </c>
      <c r="D939" s="66"/>
    </row>
    <row r="940" spans="2:4">
      <c r="B940" s="65"/>
      <c r="C940" s="66" t="str">
        <f>IFERROR(VLOOKUP(B940,Roster!$A$2:$B$5000,2,FALSE),"-")</f>
        <v>-</v>
      </c>
      <c r="D940" s="66"/>
    </row>
    <row r="941" spans="2:4">
      <c r="B941" s="65"/>
      <c r="C941" s="66" t="str">
        <f>IFERROR(VLOOKUP(B941,Roster!$A$2:$B$5000,2,FALSE),"-")</f>
        <v>-</v>
      </c>
      <c r="D941" s="66"/>
    </row>
    <row r="942" spans="2:4">
      <c r="B942" s="65"/>
      <c r="C942" s="66" t="str">
        <f>IFERROR(VLOOKUP(B942,Roster!$A$2:$B$5000,2,FALSE),"-")</f>
        <v>-</v>
      </c>
      <c r="D942" s="66"/>
    </row>
    <row r="943" spans="2:4">
      <c r="B943" s="65"/>
      <c r="C943" s="66" t="str">
        <f>IFERROR(VLOOKUP(B943,Roster!$A$2:$B$5000,2,FALSE),"-")</f>
        <v>-</v>
      </c>
      <c r="D943" s="66"/>
    </row>
    <row r="944" spans="2:4">
      <c r="B944" s="65"/>
      <c r="C944" s="66" t="str">
        <f>IFERROR(VLOOKUP(B944,Roster!$A$2:$B$5000,2,FALSE),"-")</f>
        <v>-</v>
      </c>
      <c r="D944" s="66"/>
    </row>
    <row r="945" spans="2:4">
      <c r="B945" s="65"/>
      <c r="C945" s="66" t="str">
        <f>IFERROR(VLOOKUP(B945,Roster!$A$2:$B$5000,2,FALSE),"-")</f>
        <v>-</v>
      </c>
      <c r="D945" s="66"/>
    </row>
    <row r="946" spans="2:4">
      <c r="B946" s="65"/>
      <c r="C946" s="66" t="str">
        <f>IFERROR(VLOOKUP(B946,Roster!$A$2:$B$5000,2,FALSE),"-")</f>
        <v>-</v>
      </c>
      <c r="D946" s="66"/>
    </row>
    <row r="947" spans="2:4">
      <c r="B947" s="65"/>
      <c r="C947" s="66" t="str">
        <f>IFERROR(VLOOKUP(B947,Roster!$A$2:$B$5000,2,FALSE),"-")</f>
        <v>-</v>
      </c>
      <c r="D947" s="66"/>
    </row>
    <row r="948" spans="2:4">
      <c r="B948" s="65"/>
      <c r="C948" s="66" t="str">
        <f>IFERROR(VLOOKUP(B948,Roster!$A$2:$B$5000,2,FALSE),"-")</f>
        <v>-</v>
      </c>
      <c r="D948" s="66"/>
    </row>
    <row r="949" spans="2:4">
      <c r="B949" s="65"/>
      <c r="C949" s="66" t="str">
        <f>IFERROR(VLOOKUP(B949,Roster!$A$2:$B$5000,2,FALSE),"-")</f>
        <v>-</v>
      </c>
      <c r="D949" s="66"/>
    </row>
    <row r="950" spans="2:4">
      <c r="B950" s="65"/>
      <c r="C950" s="66" t="str">
        <f>IFERROR(VLOOKUP(B950,Roster!$A$2:$B$5000,2,FALSE),"-")</f>
        <v>-</v>
      </c>
      <c r="D950" s="66"/>
    </row>
    <row r="951" spans="2:4">
      <c r="B951" s="65"/>
      <c r="C951" s="66" t="str">
        <f>IFERROR(VLOOKUP(B951,Roster!$A$2:$B$5000,2,FALSE),"-")</f>
        <v>-</v>
      </c>
      <c r="D951" s="66"/>
    </row>
    <row r="952" spans="2:4">
      <c r="B952" s="65"/>
      <c r="C952" s="66" t="str">
        <f>IFERROR(VLOOKUP(B952,Roster!$A$2:$B$5000,2,FALSE),"-")</f>
        <v>-</v>
      </c>
      <c r="D952" s="66"/>
    </row>
    <row r="953" spans="2:4">
      <c r="B953" s="65"/>
      <c r="C953" s="66" t="str">
        <f>IFERROR(VLOOKUP(B953,Roster!$A$2:$B$5000,2,FALSE),"-")</f>
        <v>-</v>
      </c>
      <c r="D953" s="66"/>
    </row>
    <row r="954" spans="2:4">
      <c r="B954" s="65"/>
      <c r="C954" s="66" t="str">
        <f>IFERROR(VLOOKUP(B954,Roster!$A$2:$B$5000,2,FALSE),"-")</f>
        <v>-</v>
      </c>
      <c r="D954" s="66"/>
    </row>
    <row r="955" spans="2:4">
      <c r="B955" s="65"/>
      <c r="C955" s="66" t="str">
        <f>IFERROR(VLOOKUP(B955,Roster!$A$2:$B$5000,2,FALSE),"-")</f>
        <v>-</v>
      </c>
      <c r="D955" s="66"/>
    </row>
    <row r="956" spans="2:4">
      <c r="B956" s="65"/>
      <c r="C956" s="66" t="str">
        <f>IFERROR(VLOOKUP(B956,Roster!$A$2:$B$5000,2,FALSE),"-")</f>
        <v>-</v>
      </c>
      <c r="D956" s="66"/>
    </row>
    <row r="957" spans="2:4">
      <c r="B957" s="65"/>
      <c r="C957" s="66" t="str">
        <f>IFERROR(VLOOKUP(B957,Roster!$A$2:$B$5000,2,FALSE),"-")</f>
        <v>-</v>
      </c>
      <c r="D957" s="66"/>
    </row>
    <row r="958" spans="2:4">
      <c r="B958" s="65"/>
      <c r="C958" s="66" t="str">
        <f>IFERROR(VLOOKUP(B958,Roster!$A$2:$B$5000,2,FALSE),"-")</f>
        <v>-</v>
      </c>
      <c r="D958" s="66"/>
    </row>
    <row r="959" spans="2:4">
      <c r="B959" s="65"/>
      <c r="C959" s="66" t="str">
        <f>IFERROR(VLOOKUP(B959,Roster!$A$2:$B$5000,2,FALSE),"-")</f>
        <v>-</v>
      </c>
      <c r="D959" s="66"/>
    </row>
    <row r="960" spans="2:4">
      <c r="B960" s="65"/>
      <c r="C960" s="66" t="str">
        <f>IFERROR(VLOOKUP(B960,Roster!$A$2:$B$5000,2,FALSE),"-")</f>
        <v>-</v>
      </c>
      <c r="D960" s="66"/>
    </row>
    <row r="961" spans="2:4">
      <c r="B961" s="65"/>
      <c r="C961" s="66" t="str">
        <f>IFERROR(VLOOKUP(B961,Roster!$A$2:$B$5000,2,FALSE),"-")</f>
        <v>-</v>
      </c>
      <c r="D961" s="66"/>
    </row>
    <row r="962" spans="2:4">
      <c r="B962" s="65"/>
      <c r="C962" s="66" t="str">
        <f>IFERROR(VLOOKUP(B962,Roster!$A$2:$B$5000,2,FALSE),"-")</f>
        <v>-</v>
      </c>
      <c r="D962" s="66"/>
    </row>
    <row r="963" spans="2:4">
      <c r="B963" s="65"/>
      <c r="C963" s="66" t="str">
        <f>IFERROR(VLOOKUP(B963,Roster!$A$2:$B$5000,2,FALSE),"-")</f>
        <v>-</v>
      </c>
      <c r="D963" s="66"/>
    </row>
    <row r="964" spans="2:4">
      <c r="B964" s="65"/>
      <c r="C964" s="66" t="str">
        <f>IFERROR(VLOOKUP(B964,Roster!$A$2:$B$5000,2,FALSE),"-")</f>
        <v>-</v>
      </c>
      <c r="D964" s="66"/>
    </row>
    <row r="965" spans="2:4">
      <c r="B965" s="65"/>
      <c r="C965" s="66" t="str">
        <f>IFERROR(VLOOKUP(B965,Roster!$A$2:$B$5000,2,FALSE),"-")</f>
        <v>-</v>
      </c>
      <c r="D965" s="66"/>
    </row>
    <row r="966" spans="2:4">
      <c r="B966" s="65"/>
      <c r="C966" s="66" t="str">
        <f>IFERROR(VLOOKUP(B966,Roster!$A$2:$B$5000,2,FALSE),"-")</f>
        <v>-</v>
      </c>
      <c r="D966" s="66"/>
    </row>
    <row r="967" spans="2:4">
      <c r="B967" s="65"/>
      <c r="C967" s="66" t="str">
        <f>IFERROR(VLOOKUP(B967,Roster!$A$2:$B$5000,2,FALSE),"-")</f>
        <v>-</v>
      </c>
      <c r="D967" s="66"/>
    </row>
    <row r="968" spans="2:4">
      <c r="B968" s="65"/>
      <c r="C968" s="66" t="str">
        <f>IFERROR(VLOOKUP(B968,Roster!$A$2:$B$5000,2,FALSE),"-")</f>
        <v>-</v>
      </c>
      <c r="D968" s="66"/>
    </row>
    <row r="969" spans="2:4">
      <c r="B969" s="65"/>
      <c r="C969" s="66" t="str">
        <f>IFERROR(VLOOKUP(B969,Roster!$A$2:$B$5000,2,FALSE),"-")</f>
        <v>-</v>
      </c>
      <c r="D969" s="66"/>
    </row>
    <row r="970" spans="2:4">
      <c r="B970" s="65"/>
      <c r="C970" s="66" t="str">
        <f>IFERROR(VLOOKUP(B970,Roster!$A$2:$B$5000,2,FALSE),"-")</f>
        <v>-</v>
      </c>
      <c r="D970" s="66"/>
    </row>
    <row r="971" spans="2:4">
      <c r="B971" s="65"/>
      <c r="C971" s="66" t="str">
        <f>IFERROR(VLOOKUP(B971,Roster!$A$2:$B$5000,2,FALSE),"-")</f>
        <v>-</v>
      </c>
      <c r="D971" s="66"/>
    </row>
    <row r="972" spans="2:4">
      <c r="B972" s="65"/>
      <c r="C972" s="66" t="str">
        <f>IFERROR(VLOOKUP(B972,Roster!$A$2:$B$5000,2,FALSE),"-")</f>
        <v>-</v>
      </c>
      <c r="D972" s="66"/>
    </row>
    <row r="973" spans="2:4">
      <c r="B973" s="65"/>
      <c r="C973" s="66" t="str">
        <f>IFERROR(VLOOKUP(B973,Roster!$A$2:$B$5000,2,FALSE),"-")</f>
        <v>-</v>
      </c>
      <c r="D973" s="66"/>
    </row>
    <row r="974" spans="2:4">
      <c r="B974" s="65"/>
      <c r="C974" s="66" t="str">
        <f>IFERROR(VLOOKUP(B974,Roster!$A$2:$B$5000,2,FALSE),"-")</f>
        <v>-</v>
      </c>
      <c r="D974" s="66"/>
    </row>
    <row r="975" spans="2:4">
      <c r="B975" s="65"/>
      <c r="C975" s="66" t="str">
        <f>IFERROR(VLOOKUP(B975,Roster!$A$2:$B$5000,2,FALSE),"-")</f>
        <v>-</v>
      </c>
      <c r="D975" s="66"/>
    </row>
    <row r="976" spans="2:4">
      <c r="B976" s="65"/>
      <c r="C976" s="66" t="str">
        <f>IFERROR(VLOOKUP(B976,Roster!$A$2:$B$5000,2,FALSE),"-")</f>
        <v>-</v>
      </c>
      <c r="D976" s="66"/>
    </row>
    <row r="977" spans="2:4">
      <c r="B977" s="65"/>
      <c r="C977" s="66" t="str">
        <f>IFERROR(VLOOKUP(B977,Roster!$A$2:$B$5000,2,FALSE),"-")</f>
        <v>-</v>
      </c>
      <c r="D977" s="66"/>
    </row>
    <row r="978" spans="2:4">
      <c r="B978" s="65"/>
      <c r="C978" s="66" t="str">
        <f>IFERROR(VLOOKUP(B978,Roster!$A$2:$B$5000,2,FALSE),"-")</f>
        <v>-</v>
      </c>
      <c r="D978" s="66"/>
    </row>
    <row r="979" spans="2:4">
      <c r="B979" s="65"/>
      <c r="C979" s="66" t="str">
        <f>IFERROR(VLOOKUP(B979,Roster!$A$2:$B$5000,2,FALSE),"-")</f>
        <v>-</v>
      </c>
      <c r="D979" s="66"/>
    </row>
    <row r="980" spans="2:4">
      <c r="B980" s="65"/>
      <c r="C980" s="66" t="str">
        <f>IFERROR(VLOOKUP(B980,Roster!$A$2:$B$5000,2,FALSE),"-")</f>
        <v>-</v>
      </c>
      <c r="D980" s="66"/>
    </row>
    <row r="981" spans="2:4">
      <c r="B981" s="65"/>
      <c r="C981" s="66" t="str">
        <f>IFERROR(VLOOKUP(B981,Roster!$A$2:$B$5000,2,FALSE),"-")</f>
        <v>-</v>
      </c>
      <c r="D981" s="66"/>
    </row>
    <row r="982" spans="2:4">
      <c r="B982" s="65"/>
      <c r="C982" s="66" t="str">
        <f>IFERROR(VLOOKUP(B982,Roster!$A$2:$B$5000,2,FALSE),"-")</f>
        <v>-</v>
      </c>
      <c r="D982" s="66"/>
    </row>
    <row r="983" spans="2:4">
      <c r="B983" s="65"/>
      <c r="C983" s="66" t="str">
        <f>IFERROR(VLOOKUP(B983,Roster!$A$2:$B$5000,2,FALSE),"-")</f>
        <v>-</v>
      </c>
      <c r="D983" s="66"/>
    </row>
    <row r="984" spans="2:4">
      <c r="B984" s="65"/>
      <c r="C984" s="66" t="str">
        <f>IFERROR(VLOOKUP(B984,Roster!$A$2:$B$5000,2,FALSE),"-")</f>
        <v>-</v>
      </c>
      <c r="D984" s="66"/>
    </row>
    <row r="985" spans="2:4">
      <c r="B985" s="65"/>
      <c r="C985" s="66" t="str">
        <f>IFERROR(VLOOKUP(B985,Roster!$A$2:$B$5000,2,FALSE),"-")</f>
        <v>-</v>
      </c>
      <c r="D985" s="66"/>
    </row>
    <row r="986" spans="2:4">
      <c r="B986" s="65"/>
      <c r="C986" s="66" t="str">
        <f>IFERROR(VLOOKUP(B986,Roster!$A$2:$B$5000,2,FALSE),"-")</f>
        <v>-</v>
      </c>
      <c r="D986" s="66"/>
    </row>
    <row r="987" spans="2:4">
      <c r="B987" s="65"/>
      <c r="C987" s="66" t="str">
        <f>IFERROR(VLOOKUP(B987,Roster!$A$2:$B$5000,2,FALSE),"-")</f>
        <v>-</v>
      </c>
      <c r="D987" s="66"/>
    </row>
    <row r="988" spans="2:4">
      <c r="B988" s="65"/>
      <c r="C988" s="66" t="str">
        <f>IFERROR(VLOOKUP(B988,Roster!$A$2:$B$5000,2,FALSE),"-")</f>
        <v>-</v>
      </c>
      <c r="D988" s="66"/>
    </row>
    <row r="989" spans="2:4">
      <c r="B989" s="65"/>
      <c r="C989" s="66" t="str">
        <f>IFERROR(VLOOKUP(B989,Roster!$A$2:$B$5000,2,FALSE),"-")</f>
        <v>-</v>
      </c>
      <c r="D989" s="66"/>
    </row>
    <row r="990" spans="2:4">
      <c r="B990" s="65"/>
      <c r="C990" s="66" t="str">
        <f>IFERROR(VLOOKUP(B990,Roster!$A$2:$B$5000,2,FALSE),"-")</f>
        <v>-</v>
      </c>
      <c r="D990" s="66"/>
    </row>
    <row r="991" spans="2:4">
      <c r="B991" s="65"/>
      <c r="C991" s="66" t="str">
        <f>IFERROR(VLOOKUP(B991,Roster!$A$2:$B$5000,2,FALSE),"-")</f>
        <v>-</v>
      </c>
      <c r="D991" s="66"/>
    </row>
    <row r="992" spans="2:4">
      <c r="B992" s="65"/>
      <c r="C992" s="66" t="str">
        <f>IFERROR(VLOOKUP(B992,Roster!$A$2:$B$5000,2,FALSE),"-")</f>
        <v>-</v>
      </c>
      <c r="D992" s="66"/>
    </row>
    <row r="993" spans="2:4">
      <c r="B993" s="65"/>
      <c r="C993" s="66" t="str">
        <f>IFERROR(VLOOKUP(B993,Roster!$A$2:$B$5000,2,FALSE),"-")</f>
        <v>-</v>
      </c>
      <c r="D993" s="66"/>
    </row>
    <row r="994" spans="2:4">
      <c r="B994" s="65"/>
      <c r="C994" s="66" t="str">
        <f>IFERROR(VLOOKUP(B994,Roster!$A$2:$B$5000,2,FALSE),"-")</f>
        <v>-</v>
      </c>
      <c r="D994" s="66"/>
    </row>
    <row r="995" spans="2:4">
      <c r="B995" s="65"/>
      <c r="C995" s="66" t="str">
        <f>IFERROR(VLOOKUP(B995,Roster!$A$2:$B$5000,2,FALSE),"-")</f>
        <v>-</v>
      </c>
      <c r="D995" s="66"/>
    </row>
    <row r="996" spans="2:4">
      <c r="B996" s="65"/>
      <c r="C996" s="66" t="str">
        <f>IFERROR(VLOOKUP(B996,Roster!$A$2:$B$5000,2,FALSE),"-")</f>
        <v>-</v>
      </c>
      <c r="D996" s="66"/>
    </row>
    <row r="997" spans="2:4">
      <c r="B997" s="65"/>
      <c r="C997" s="66" t="str">
        <f>IFERROR(VLOOKUP(B997,Roster!$A$2:$B$5000,2,FALSE),"-")</f>
        <v>-</v>
      </c>
      <c r="D997" s="66"/>
    </row>
    <row r="998" spans="2:4">
      <c r="B998" s="65"/>
      <c r="C998" s="66" t="str">
        <f>IFERROR(VLOOKUP(B998,Roster!$A$2:$B$5000,2,FALSE),"-")</f>
        <v>-</v>
      </c>
      <c r="D998" s="66"/>
    </row>
    <row r="999" spans="2:4">
      <c r="B999" s="65"/>
      <c r="C999" s="66" t="str">
        <f>IFERROR(VLOOKUP(B999,Roster!$A$2:$B$5000,2,FALSE),"-")</f>
        <v>-</v>
      </c>
      <c r="D999" s="66"/>
    </row>
    <row r="1000" spans="2:4" ht="15.75" thickBot="1">
      <c r="B1000" s="74"/>
      <c r="C1000" s="66" t="str">
        <f>IFERROR(VLOOKUP(B1000,Roster!$A$2:$B$5000,2,FALSE),"-")</f>
        <v>-</v>
      </c>
      <c r="D1000" s="66"/>
    </row>
  </sheetData>
  <mergeCells count="4">
    <mergeCell ref="R2:S2"/>
    <mergeCell ref="R3:S3"/>
    <mergeCell ref="R4:S4"/>
    <mergeCell ref="R5:S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36</vt:i4>
      </vt:variant>
    </vt:vector>
  </HeadingPairs>
  <TitlesOfParts>
    <vt:vector size="43" baseType="lpstr">
      <vt:lpstr>Staffing</vt:lpstr>
      <vt:lpstr>DOCK</vt:lpstr>
      <vt:lpstr>PIT</vt:lpstr>
      <vt:lpstr>Outbound Nights</vt:lpstr>
      <vt:lpstr>PS_ICQA_Learning</vt:lpstr>
      <vt:lpstr>Roster</vt:lpstr>
      <vt:lpstr>Headcount</vt:lpstr>
      <vt:lpstr>andon_start</vt:lpstr>
      <vt:lpstr>centerRider_start</vt:lpstr>
      <vt:lpstr>clampTruck_start</vt:lpstr>
      <vt:lpstr>CPTChase_start</vt:lpstr>
      <vt:lpstr>damage_start</vt:lpstr>
      <vt:lpstr>directedCounts_start</vt:lpstr>
      <vt:lpstr>dockAuditor_start</vt:lpstr>
      <vt:lpstr>grayTotes_start</vt:lpstr>
      <vt:lpstr>IBForklift_start</vt:lpstr>
      <vt:lpstr>IBJackpot_start</vt:lpstr>
      <vt:lpstr>IBTugger_start</vt:lpstr>
      <vt:lpstr>IOL_start</vt:lpstr>
      <vt:lpstr>learningGeneral_start</vt:lpstr>
      <vt:lpstr>learningPIT_start</vt:lpstr>
      <vt:lpstr>OBForklift_start</vt:lpstr>
      <vt:lpstr>OBJackpot_start</vt:lpstr>
      <vt:lpstr>OBLineLoad_start</vt:lpstr>
      <vt:lpstr>OBLineLoadWS_start</vt:lpstr>
      <vt:lpstr>OBRunner_start</vt:lpstr>
      <vt:lpstr>OBTugger_start</vt:lpstr>
      <vt:lpstr>palletize_start</vt:lpstr>
      <vt:lpstr>palletizeWS_start</vt:lpstr>
      <vt:lpstr>palletPS_start</vt:lpstr>
      <vt:lpstr>palletRacking_start</vt:lpstr>
      <vt:lpstr>pick_start</vt:lpstr>
      <vt:lpstr>pickSkips_start</vt:lpstr>
      <vt:lpstr>QAScanner_start</vt:lpstr>
      <vt:lpstr>SimpleBinCount_start</vt:lpstr>
      <vt:lpstr>stow_start</vt:lpstr>
      <vt:lpstr>stowKiosk_start</vt:lpstr>
      <vt:lpstr>totePalletize_start</vt:lpstr>
      <vt:lpstr>totePalletizeWS_start</vt:lpstr>
      <vt:lpstr>tuggerBusRoute_start</vt:lpstr>
      <vt:lpstr>turret_start</vt:lpstr>
      <vt:lpstr>UISDock_start</vt:lpstr>
      <vt:lpstr>UISPS_start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Adonis N</cp:lastModifiedBy>
  <dcterms:created xsi:type="dcterms:W3CDTF">2020-05-13T13:11:01Z</dcterms:created>
  <dcterms:modified xsi:type="dcterms:W3CDTF">2023-12-11T23:42:13Z</dcterms:modified>
</cp:coreProperties>
</file>