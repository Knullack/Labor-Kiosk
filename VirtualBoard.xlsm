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Labor-Kiosk\Labor-Kiosk-main\"/>
    </mc:Choice>
  </mc:AlternateContent>
  <xr:revisionPtr revIDLastSave="0" documentId="13_ncr:1_{456F9B7E-EF1E-4FF9-A206-FCDA37565DBE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<sst xmlns="http://schemas.openxmlformats.org/spreadsheetml/2006/main" count="2065" uniqueCount="1337">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</sst>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2.emf"/><Relationship Id="rId3" Type="http://schemas.openxmlformats.org/officeDocument/2006/relationships/image" Target="../media/image13.emf"/><Relationship Id="rId7" Type="http://schemas.openxmlformats.org/officeDocument/2006/relationships/image" Target="../media/image8.emf"/><Relationship Id="rId12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14.emf"/><Relationship Id="rId1" Type="http://schemas.openxmlformats.org/officeDocument/2006/relationships/image" Target="../media/image16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10.emf"/><Relationship Id="rId1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5996969</xdr:colOff>
      <xdr:row>20</xdr:row>
      <xdr:rowOff>18910</xdr:rowOff>
    </xdr:from>
    <xdr:to>
      <xdr:col>1</xdr:col>
      <xdr:colOff>6162569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044844" y="5276710"/>
          <a:ext cx="165600" cy="174129"/>
        </a:xfrm>
        <a:prstGeom prst="ellipse">
          <a:avLst/>
        </a:prstGeom>
        <a:solidFill>
          <a:srgbClr val="00CC6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5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142875</xdr:colOff>
          <xdr:row>49</xdr:row>
          <xdr:rowOff>47625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38100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133350</xdr:colOff>
          <xdr:row>52</xdr:row>
          <xdr:rowOff>28575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133350</xdr:colOff>
          <xdr:row>55</xdr:row>
          <xdr:rowOff>9525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133350</xdr:colOff>
          <xdr:row>57</xdr:row>
          <xdr:rowOff>180975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133350</xdr:colOff>
          <xdr:row>60</xdr:row>
          <xdr:rowOff>152400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28575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19050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171450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152400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428625</xdr:colOff>
          <xdr:row>49</xdr:row>
          <xdr:rowOff>19050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428625</xdr:colOff>
          <xdr:row>51</xdr:row>
          <xdr:rowOff>180975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zoomScaleNormal="100" workbookViewId="0"/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1320</v>
      </c>
    </row>
    <row r="2" spans="1:26" ht="19.5" thickBot="1">
      <c r="B2" s="34" t="s">
        <v>12</v>
      </c>
      <c r="D2" s="82" t="s">
        <v>1329</v>
      </c>
      <c r="E2" s="83"/>
      <c r="G2" s="61" t="s">
        <v>1320</v>
      </c>
    </row>
    <row r="3" spans="1:26" ht="14.45" customHeight="1" thickBot="1">
      <c r="B3" s="79" t="s">
        <v>187</v>
      </c>
      <c r="D3" s="77">
        <f>Headcount!R3</f>
        <v>0</v>
      </c>
      <c r="E3" s="78"/>
    </row>
    <row r="4" spans="1:26" ht="14.45" customHeight="1" thickBot="1">
      <c r="B4" s="80"/>
      <c r="D4" s="82" t="s">
        <v>1330</v>
      </c>
      <c r="E4" s="83"/>
    </row>
    <row r="5" spans="1:26" ht="15" customHeight="1" thickBot="1">
      <c r="B5" s="80"/>
      <c r="D5" s="77">
        <f>Headcount!R5</f>
        <v>0</v>
      </c>
      <c r="E5" s="78"/>
    </row>
    <row r="6" spans="1:26" ht="15.75" thickBot="1">
      <c r="A6" s="4"/>
      <c r="B6" s="81"/>
      <c r="D6" s="82" t="s">
        <v>1336</v>
      </c>
      <c r="E6" s="83"/>
    </row>
    <row r="7" spans="1:26" ht="15.75" thickBot="1">
      <c r="B7"/>
      <c r="D7" s="77">
        <f>Headcount!P20</f>
        <v>0</v>
      </c>
      <c r="E7" s="78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1068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>
        <v>12730876</v>
      </c>
    </row>
    <row r="21" spans="2:2" ht="15.75">
      <c r="B21" s="76" t="s">
        <v>1321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.5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.5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tabSelected="1" topLeftCell="A3" zoomScale="55" zoomScaleNormal="55" workbookViewId="0">
      <selection activeCell="A8" sqref="A8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7" t="s">
        <v>1072</v>
      </c>
      <c r="B1" s="88"/>
      <c r="C1" s="89"/>
      <c r="D1" s="5"/>
      <c r="E1" s="90" t="s">
        <v>1073</v>
      </c>
      <c r="F1" s="91"/>
      <c r="G1" s="91"/>
      <c r="H1" s="91"/>
      <c r="I1" s="91"/>
      <c r="J1" s="91"/>
      <c r="K1" s="92"/>
      <c r="M1" s="84" t="s">
        <v>1086</v>
      </c>
      <c r="N1" s="85"/>
      <c r="O1" s="86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84" t="s">
        <v>1074</v>
      </c>
      <c r="F2" s="85"/>
      <c r="G2" s="86"/>
      <c r="I2" s="84" t="s">
        <v>1080</v>
      </c>
      <c r="J2" s="85"/>
      <c r="K2" s="86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1334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1334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1334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1334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1334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1334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1334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1334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1334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1334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1334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1334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1334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1335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1335</v>
      </c>
    </row>
    <row r="18" spans="1:15" ht="16.5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1335</v>
      </c>
    </row>
    <row r="19" spans="1:15" ht="15.7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1335</v>
      </c>
    </row>
    <row r="20" spans="1:15" ht="16.5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1335</v>
      </c>
    </row>
    <row r="21" spans="1:15" ht="15.7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1335</v>
      </c>
    </row>
    <row r="22" spans="1:15" ht="16.5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1335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1335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1335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1335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1335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1335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1335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38" r:id="rId4" name="learningPIT">
          <controlPr defaultSize="0" autoLine="0" r:id="rId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4" name="learningPIT"/>
      </mc:Fallback>
    </mc:AlternateContent>
    <mc:AlternateContent xmlns:mc="http://schemas.openxmlformats.org/markup-compatibility/2006">
      <mc:Choice Requires="x14">
        <control shapeId="5137" r:id="rId6" name="learningGeneral">
          <controlPr defaultSize="0" autoLine="0" r:id="rId7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6" name="learningGeneral"/>
      </mc:Fallback>
    </mc:AlternateContent>
    <mc:AlternateContent xmlns:mc="http://schemas.openxmlformats.org/markup-compatibility/2006">
      <mc:Choice Requires="x14">
        <control shapeId="5136" r:id="rId8" name="pickSkips">
          <controlPr defaultSize="0" autoLine="0" r:id="rId9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8" name="pickSkips"/>
      </mc:Fallback>
    </mc:AlternateContent>
    <mc:AlternateContent xmlns:mc="http://schemas.openxmlformats.org/markup-compatibility/2006">
      <mc:Choice Requires="x14">
        <control shapeId="5135" r:id="rId10" name="CPTChase">
          <controlPr defaultSize="0" autoLine="0" r:id="rId11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10" name="CPTChase"/>
      </mc:Fallback>
    </mc:AlternateContent>
    <mc:AlternateContent xmlns:mc="http://schemas.openxmlformats.org/markup-compatibility/2006">
      <mc:Choice Requires="x14">
        <control shapeId="5134" r:id="rId12" name="UISPS">
          <controlPr defaultSize="0" autoLine="0" r:id="rId13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12" name="UISPS"/>
      </mc:Fallback>
    </mc:AlternateContent>
    <mc:AlternateContent xmlns:mc="http://schemas.openxmlformats.org/markup-compatibility/2006">
      <mc:Choice Requires="x14">
        <control shapeId="5133" r:id="rId14" name="OBRunner">
          <controlPr defaultSize="0" autoLine="0" r:id="rId1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14" name="OBRunner"/>
      </mc:Fallback>
    </mc:AlternateContent>
    <mc:AlternateContent xmlns:mc="http://schemas.openxmlformats.org/markup-compatibility/2006">
      <mc:Choice Requires="x14">
        <control shapeId="5132" r:id="rId16" name="palletPS">
          <controlPr defaultSize="0" autoLine="0" r:id="rId17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16" name="palletPS"/>
      </mc:Fallback>
    </mc:AlternateContent>
    <mc:AlternateContent xmlns:mc="http://schemas.openxmlformats.org/markup-compatibility/2006">
      <mc:Choice Requires="x14">
        <control shapeId="5131" r:id="rId18" name="IOL">
          <controlPr defaultSize="0" autoLine="0" r:id="rId19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18" name="IOL"/>
      </mc:Fallback>
    </mc:AlternateContent>
    <mc:AlternateContent xmlns:mc="http://schemas.openxmlformats.org/markup-compatibility/2006">
      <mc:Choice Requires="x14">
        <control shapeId="5130" r:id="rId20" name="damage">
          <controlPr defaultSize="0" autoLine="0" r:id="rId21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20" name="damage"/>
      </mc:Fallback>
    </mc:AlternateContent>
    <mc:AlternateContent xmlns:mc="http://schemas.openxmlformats.org/markup-compatibility/2006">
      <mc:Choice Requires="x14">
        <control shapeId="5129" r:id="rId22" name="StowKiosk">
          <controlPr defaultSize="0" autoLine="0" r:id="rId23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22" name="StowKiosk"/>
      </mc:Fallback>
    </mc:AlternateContent>
    <mc:AlternateContent xmlns:mc="http://schemas.openxmlformats.org/markup-compatibility/2006">
      <mc:Choice Requires="x14">
        <control shapeId="5128" r:id="rId24" name="OBJP">
          <controlPr defaultSize="0" autoLine="0" r:id="rId2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24" name="OBJP"/>
      </mc:Fallback>
    </mc:AlternateContent>
    <mc:AlternateContent xmlns:mc="http://schemas.openxmlformats.org/markup-compatibility/2006">
      <mc:Choice Requires="x14">
        <control shapeId="5127" r:id="rId26" name="IBJP">
          <controlPr defaultSize="0" autoLine="0" autoPict="0" r:id="rId27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26" name="IBJP"/>
      </mc:Fallback>
    </mc:AlternateContent>
    <mc:AlternateContent xmlns:mc="http://schemas.openxmlformats.org/markup-compatibility/2006">
      <mc:Choice Requires="x14">
        <control shapeId="5125" r:id="rId28" name="andons">
          <controlPr defaultSize="0" autoLine="0" autoPict="0" r:id="rId29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28" name="andons"/>
      </mc:Fallback>
    </mc:AlternateContent>
    <mc:AlternateContent xmlns:mc="http://schemas.openxmlformats.org/markup-compatibility/2006">
      <mc:Choice Requires="x14">
        <control shapeId="5124" r:id="rId30" name="SimpleBinCount">
          <controlPr defaultSize="0" autoLine="0" autoPict="0" r:id="rId31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30" name="SimpleBinCount"/>
      </mc:Fallback>
    </mc:AlternateContent>
    <mc:AlternateContent xmlns:mc="http://schemas.openxmlformats.org/markup-compatibility/2006">
      <mc:Choice Requires="x14">
        <control shapeId="5122" r:id="rId32" name="palletRacking">
          <controlPr defaultSize="0" autoLine="0" autoPict="0" r:id="rId33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32" name="palletRacking"/>
      </mc:Fallback>
    </mc:AlternateContent>
    <mc:AlternateContent xmlns:mc="http://schemas.openxmlformats.org/markup-compatibility/2006">
      <mc:Choice Requires="x14">
        <control shapeId="5121" r:id="rId34" name="Counts">
          <controlPr defaultSize="0" autoLine="0" autoPict="0" r:id="rId3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34" name="Coun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93" t="s">
        <v>1150</v>
      </c>
      <c r="E1" s="94"/>
      <c r="F1" s="94"/>
      <c r="G1" s="95"/>
    </row>
    <row r="2" spans="1:7">
      <c r="A2">
        <v>13567162</v>
      </c>
      <c r="B2" t="s">
        <v>24</v>
      </c>
      <c r="D2" s="96"/>
      <c r="E2" s="97"/>
      <c r="F2" s="97"/>
      <c r="G2" s="98"/>
    </row>
    <row r="3" spans="1:7">
      <c r="A3">
        <v>11499800</v>
      </c>
      <c r="B3" t="s">
        <v>25</v>
      </c>
      <c r="D3" s="96"/>
      <c r="E3" s="97"/>
      <c r="F3" s="97"/>
      <c r="G3" s="98"/>
    </row>
    <row r="4" spans="1:7">
      <c r="A4">
        <v>11830658</v>
      </c>
      <c r="B4" t="s">
        <v>26</v>
      </c>
      <c r="D4" s="96"/>
      <c r="E4" s="97"/>
      <c r="F4" s="97"/>
      <c r="G4" s="98"/>
    </row>
    <row r="5" spans="1:7">
      <c r="A5">
        <v>14813873</v>
      </c>
      <c r="B5" t="s">
        <v>27</v>
      </c>
      <c r="D5" s="96"/>
      <c r="E5" s="97"/>
      <c r="F5" s="97"/>
      <c r="G5" s="98"/>
    </row>
    <row r="6" spans="1:7" ht="15.75" thickBot="1">
      <c r="A6">
        <v>14931823</v>
      </c>
      <c r="B6" t="s">
        <v>28</v>
      </c>
      <c r="D6" s="99"/>
      <c r="E6" s="100"/>
      <c r="F6" s="100"/>
      <c r="G6" s="101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zoomScale="70" zoomScaleNormal="70" workbookViewId="0"/>
  </sheetViews>
  <sheetFormatPr defaultRowHeight="15"/>
  <cols>
    <col min="1" max="1" width="1.7109375" customWidth="1"/>
    <col min="2" max="2" width="22.5703125" style="75" customWidth="1"/>
    <col min="3" max="3" width="29.28515625" style="75" customWidth="1"/>
    <col min="4" max="4" width="25.570312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2" t="s">
        <v>1322</v>
      </c>
      <c r="C1" s="63" t="s">
        <v>1323</v>
      </c>
      <c r="D1" s="63" t="s">
        <v>1324</v>
      </c>
      <c r="F1" s="64" t="s">
        <v>1325</v>
      </c>
      <c r="G1" s="64" t="s">
        <v>1326</v>
      </c>
      <c r="H1" s="64" t="s">
        <v>1327</v>
      </c>
      <c r="I1" s="64"/>
      <c r="J1" s="64" t="s">
        <v>1325</v>
      </c>
      <c r="K1" s="64" t="s">
        <v>1314</v>
      </c>
      <c r="L1" s="64" t="s">
        <v>1327</v>
      </c>
      <c r="M1" s="64"/>
      <c r="N1" s="64" t="s">
        <v>1325</v>
      </c>
      <c r="O1" s="64" t="s">
        <v>1328</v>
      </c>
      <c r="P1" s="64" t="s">
        <v>1327</v>
      </c>
    </row>
    <row r="2" spans="2:19" ht="15.75" thickBot="1">
      <c r="B2" s="65"/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102" t="s">
        <v>1329</v>
      </c>
      <c r="S2" s="103"/>
    </row>
    <row r="3" spans="2:19" ht="15.7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104">
        <f>SUM(F30,J30,N30)</f>
        <v>0</v>
      </c>
      <c r="S3" s="105"/>
    </row>
    <row r="4" spans="2:19" ht="15.7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102" t="s">
        <v>1330</v>
      </c>
      <c r="S4" s="103"/>
    </row>
    <row r="5" spans="2:19" ht="15.7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104">
        <f>COUNTIF(B2:B1000,"&lt;&gt;"&amp;"")</f>
        <v>0</v>
      </c>
      <c r="S5" s="105"/>
    </row>
    <row r="6" spans="2:19" ht="15.7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.7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.7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.7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.7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.7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.7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.7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.7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.7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.7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.7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.7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.7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.7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1331</v>
      </c>
      <c r="P20" s="67">
        <f t="shared" si="2"/>
        <v>0</v>
      </c>
    </row>
    <row r="21" spans="2:16" ht="15.7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.7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.7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.7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.7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.7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.7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1332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.7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.7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.7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1333</v>
      </c>
      <c r="H30" s="72">
        <f>SUM(H2:H29)</f>
        <v>0</v>
      </c>
      <c r="I30" s="64"/>
      <c r="J30" s="72">
        <f>SUM(J2:J29)</f>
        <v>0</v>
      </c>
      <c r="K30" s="73" t="s">
        <v>1333</v>
      </c>
      <c r="L30" s="72">
        <f>SUM(L2:L29)</f>
        <v>0</v>
      </c>
      <c r="M30" s="64"/>
      <c r="N30" s="72">
        <f>SUM(N2:N29)</f>
        <v>0</v>
      </c>
      <c r="O30" s="73" t="s">
        <v>1333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.7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Manoelle</dc:creator>
  <cp:lastModifiedBy>Adonis N</cp:lastModifiedBy>
  <dcterms:created xsi:type="dcterms:W3CDTF">2020-05-13T13:11:01Z</dcterms:created>
  <dcterms:modified xsi:type="dcterms:W3CDTF">2023-12-11T23:27:56Z</dcterms:modified>
</cp:coreProperties>
</file>