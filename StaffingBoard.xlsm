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n51\Downloads\"/>
    </mc:Choice>
  </mc:AlternateContent>
  <xr:revisionPtr revIDLastSave="0" documentId="8_{3111CF89-C8D9-4A3F-B2CC-9F1C94EF6E27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Instructions" sheetId="7" r:id="rId7"/>
    <sheet name="Headcount" sheetId="8" r:id="rId8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<sst xmlns="http://schemas.openxmlformats.org/spreadsheetml/2006/main" count="2082" uniqueCount="1356">
  <si>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</si>
  <si>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</si>
  <si>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</si>
  <si>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</si>
  <si>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</si>
  <si>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</si>
  <si>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</si>
  <si>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</si>
  <si>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</si>
  <si>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</si>
  <si>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</si>
  <si>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</si>
  <si>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</si>
  <si>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</si>
  <si>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</si>
  <si>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</si>
  <si>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</si>
  <si>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</si>
  <si>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</si>
  <si>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</si>
  <si>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</si>
  <si>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</si>
  <si>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</si>
  <si>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</si>
  <si>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</si>
  <si>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</si>
  <si>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</si>
  <si>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</si>
  <si>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</si>
  <si>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</si>
  <si>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</si>
  <si>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</si>
  <si>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</si>
  <si>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</si>
  <si>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</si>
  <si>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</si>
  <si>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</si>
  <si>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</si>
  <si>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</si>
  <si>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</si>
  <si>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</si>
  <si>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</si>
  <si>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</si>
  <si>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</si>
  <si>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</si>
  <si>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</si>
  <si>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</si>
  <si>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</si>
  <si>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</si>
  <si>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</si>
  <si>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</si>
  <si>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</si>
  <si>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</si>
  <si>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</si>
  <si>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</si>
  <si>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</si>
  <si>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</si>
  <si>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</si>
  <si>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</si>
  <si>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</si>
  <si>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</si>
  <si>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</si>
  <si>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</si>
  <si>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</si>
  <si>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</si>
  <si>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</si>
  <si>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</si>
  <si>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</si>
  <si>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</si>
  <si>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</si>
  <si>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</si>
  <si>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</si>
  <si>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</si>
  <si>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</si>
  <si>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</si>
  <si>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</si>
  <si>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</si>
  <si>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</si>
  <si>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</si>
  <si>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</si>
  <si>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</si>
  <si>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</si>
  <si>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</si>
  <si>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</si>
  <si>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</si>
  <si>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</si>
  <si>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</si>
  <si>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</si>
  <si>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</si>
  <si>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</si>
  <si>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</si>
  <si>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</si>
  <si>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</si>
  <si>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</si>
  <si>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</si>
  <si>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</si>
  <si>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</si>
  <si>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</si>
  <si>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</si>
  <si>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</si>
  <si>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</si>
  <si>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</si>
  <si>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</si>
  <si>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</si>
  <si>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</si>
  <si>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</si>
  <si>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</si>
  <si>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</si>
  <si>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</si>
  <si>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</si>
  <si>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</si>
  <si>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</si>
  <si>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</si>
  <si>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</si>
  <si>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</si>
  <si>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</si>
  <si>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</si>
  <si>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</si>
  <si>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</si>
  <si>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</si>
  <si>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</si>
  <si>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</si>
  <si>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</si>
  <si>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</si>
  <si>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</si>
  <si>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</si>
  <si>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</si>
  <si>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</si>
  <si>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</si>
  <si>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</si>
  <si>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</si>
  <si>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</si>
  <si>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</si>
  <si>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</si>
  <si>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</si>
  <si>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</si>
  <si>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</si>
  <si>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</si>
  <si>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</si>
  <si>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</si>
  <si>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</si>
  <si>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</si>
  <si>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</si>
  <si>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</si>
  <si>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</si>
  <si>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</si>
  <si>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</si>
  <si>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</si>
  <si>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</si>
  <si>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</si>
  <si>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</si>
  <si>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</si>
  <si>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</si>
  <si>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</si>
  <si>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</si>
  <si>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</si>
  <si>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</si>
  <si>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</si>
  <si>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</si>
  <si>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</si>
  <si>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</si>
  <si>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</si>
  <si>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</si>
  <si>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</si>
  <si>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</si>
  <si>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</si>
  <si>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</si>
  <si>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</si>
  <si>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</si>
  <si>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</si>
  <si>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</si>
  <si>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</si>
  <si>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</si>
  <si>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</si>
  <si>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</si>
  <si>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</si>
  <si>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</si>
  <si>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</si>
  <si>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</si>
  <si>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</si>
  <si>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</si>
  <si>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</si>
  <si>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</si>
  <si>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</si>
  <si>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</si>
  <si>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</si>
  <si>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</si>
  <si>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</si>
  <si>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</si>
  <si>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</si>
  <si>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</si>
  <si>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</si>
  <si>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</si>
  <si>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</si>
  <si>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</si>
  <si>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</si>
  <si>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</si>
  <si>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</si>
  <si>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</si>
  <si>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</si>
  <si>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</si>
  <si>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</si>
  <si>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</si>
  <si>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</si>
  <si>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</si>
  <si>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</si>
  <si>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</si>
  <si>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</si>
  <si>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</si>
  <si>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</si>
  <si>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</si>
  <si>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</si>
  <si>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</si>
  <si>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</si>
  <si>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</si>
  <si>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</si>
  <si>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</si>
  <si>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</si>
  <si>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</si>
  <si>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</si>
  <si>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</si>
  <si>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</si>
  <si>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</si>
  <si>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</si>
  <si>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</si>
  <si>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</si>
  <si>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</si>
  <si>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</si>
  <si>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</si>
  <si>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</si>
  <si>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</si>
  <si>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</si>
  <si>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</si>
  <si>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</si>
  <si>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</si>
  <si>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</si>
  <si>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</si>
  <si>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</si>
  <si>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</si>
  <si>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</si>
  <si>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</si>
  <si>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</si>
  <si>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</si>
  <si>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</si>
  <si>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</si>
  <si>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</si>
  <si>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</si>
  <si>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</si>
  <si>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</si>
  <si>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</si>
  <si>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</si>
  <si>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</si>
  <si>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</si>
  <si>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</si>
  <si>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</si>
  <si>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</si>
  <si>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</si>
  <si>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</si>
  <si>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</si>
  <si>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</si>
  <si>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</si>
  <si>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</si>
  <si>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</si>
  <si>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</si>
  <si>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</si>
  <si>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</si>
  <si>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</si>
  <si>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</si>
  <si>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</si>
  <si>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</si>
  <si>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</si>
  <si>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</si>
  <si>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</si>
  <si>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</si>
  <si>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</si>
  <si>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</si>
  <si>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</si>
  <si>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</si>
  <si>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</si>
  <si>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</si>
  <si>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</si>
  <si>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</si>
  <si>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</si>
  <si>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</si>
  <si>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</si>
  <si>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</si>
  <si>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</si>
  <si>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</si>
  <si>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</si>
  <si>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</si>
  <si>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</si>
  <si>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</si>
  <si>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</si>
  <si>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</si>
  <si>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</si>
  <si>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</si>
  <si>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</si>
  <si>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</si>
  <si>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</si>
  <si>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</si>
  <si>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</si>
  <si>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</si>
  <si>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</si>
  <si>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</si>
  <si>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</si>
  <si>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</si>
  <si>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</si>
  <si>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</si>
  <si>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</si>
  <si>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</si>
  <si>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</si>
  <si>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</si>
  <si>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</si>
  <si>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</si>
  <si>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</si>
  <si>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</si>
  <si>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</si>
  <si>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</si>
  <si>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</si>
  <si>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</si>
  <si>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</si>
  <si>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</si>
  <si>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</si>
  <si>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</si>
  <si>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</si>
  <si>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</si>
  <si>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</si>
  <si>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</si>
  <si>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</si>
  <si>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</si>
  <si>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</si>
  <si>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</si>
  <si>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</si>
  <si>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</si>
  <si>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</si>
  <si>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</si>
  <si>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</si>
  <si>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</si>
  <si>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</si>
  <si>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</si>
  <si>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</si>
  <si>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</si>
  <si>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</si>
  <si>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</si>
  <si>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</si>
  <si>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</si>
  <si>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</si>
  <si>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</si>
  <si>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</si>
  <si>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</si>
  <si>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</si>
  <si>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</si>
  <si>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</si>
  <si>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</si>
  <si>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</si>
  <si>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</si>
  <si>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</si>
  <si>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</si>
  <si>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</si>
  <si>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</si>
  <si>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</si>
  <si>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</si>
  <si>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</si>
  <si>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</si>
  <si>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</si>
  <si>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</si>
  <si>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</si>
  <si>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</si>
  <si>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</si>
  <si>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</si>
  <si>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</si>
  <si>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</si>
  <si>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</si>
  <si>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</si>
  <si>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</si>
  <si>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</si>
  <si>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</si>
  <si>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</si>
  <si>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</si>
  <si>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</si>
  <si>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</si>
  <si>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</si>
  <si>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</si>
  <si>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</si>
  <si>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</si>
  <si>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</si>
  <si>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</si>
  <si>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</si>
  <si>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</si>
  <si>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</si>
  <si>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</si>
  <si>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</si>
  <si>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</si>
  <si>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</si>
  <si>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</si>
  <si>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</si>
  <si>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</si>
  <si>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</si>
  <si>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</si>
  <si>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</si>
  <si>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</si>
  <si>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</si>
  <si>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</si>
  <si>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</si>
  <si>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</si>
  <si>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</si>
  <si>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</si>
  <si>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</si>
  <si>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</si>
  <si>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</si>
  <si>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</si>
  <si>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</si>
  <si>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</si>
  <si>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</si>
  <si>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</si>
  <si>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</si>
  <si>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</si>
  <si>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</si>
  <si>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</si>
  <si>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</si>
  <si>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</si>
  <si>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</si>
  <si>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</si>
  <si>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</si>
  <si>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</si>
  <si>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</si>
  <si>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</si>
  <si>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</si>
  <si>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</si>
  <si>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</si>
  <si>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</si>
  <si>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</si>
  <si>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</si>
  <si>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</si>
  <si>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</si>
  <si>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</si>
  <si>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</si>
  <si>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</si>
  <si>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</si>
  <si>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</si>
  <si>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</si>
  <si>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</si>
  <si>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</si>
  <si>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</si>
  <si>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</si>
  <si>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</si>
  <si>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</si>
  <si>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</si>
  <si>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</si>
  <si>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</si>
  <si>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</si>
  <si>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</si>
  <si>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</si>
  <si>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</si>
  <si>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</si>
  <si>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</si>
  <si>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</si>
  <si>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</si>
  <si>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</si>
  <si>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</si>
  <si>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</si>
  <si>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</si>
  <si>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</si>
  <si>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</si>
  <si>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</si>
  <si>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</si>
  <si>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</si>
  <si>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</si>
  <si>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</si>
  <si>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</si>
  <si>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</si>
  <si>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</si>
  <si>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</si>
  <si>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</si>
  <si>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</si>
  <si>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</si>
  <si>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</si>
  <si>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</si>
  <si>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</si>
  <si>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</si>
  <si>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</si>
  <si>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</si>
  <si>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</si>
  <si>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</si>
  <si>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</si>
  <si>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</si>
  <si>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</si>
  <si>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</si>
  <si>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</si>
  <si>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</si>
  <si>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</si>
  <si>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</si>
  <si>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</si>
  <si>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</si>
  <si>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</si>
  <si>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</si>
  <si>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</si>
  <si>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</si>
  <si>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</si>
  <si>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</si>
  <si>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</si>
  <si>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</si>
  <si>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</si>
  <si>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</si>
  <si>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</si>
  <si>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</si>
  <si>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</si>
  <si>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</si>
  <si>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</si>
  <si>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</si>
  <si>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</si>
  <si>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</si>
  <si>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</si>
  <si>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</si>
  <si>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</si>
  <si>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</si>
  <si>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</si>
  <si>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</si>
  <si>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</si>
  <si>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</si>
  <si>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</si>
  <si>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</si>
  <si>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</si>
  <si>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</si>
  <si>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</si>
  <si>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</si>
  <si>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</si>
  <si>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</si>
  <si>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</si>
  <si>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</si>
  <si>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</si>
  <si>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</si>
  <si>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</si>
  <si>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</si>
  <si>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</si>
  <si>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</si>
  <si>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</si>
  <si>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</si>
  <si>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</si>
  <si>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</si>
  <si>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</si>
  <si>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</si>
  <si>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</si>
  <si>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</si>
  <si>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</si>
  <si>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</si>
  <si>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</si>
  <si>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</si>
  <si>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</si>
  <si>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</si>
  <si>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</si>
  <si>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</si>
  <si>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</si>
  <si>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</si>
  <si>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</si>
  <si>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</si>
  <si>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</si>
  <si>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</si>
  <si>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</si>
  <si>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</si>
  <si>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</si>
  <si>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</si>
  <si>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</si>
  <si>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</si>
  <si>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</si>
  <si>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</si>
  <si>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</si>
  <si>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</si>
  <si>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</si>
  <si>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</si>
  <si>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</si>
  <si>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</si>
  <si>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</si>
  <si>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</si>
  <si>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</si>
  <si>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</si>
  <si>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</si>
  <si>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</si>
  <si>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</si>
  <si>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</si>
  <si>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</si>
  <si>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</si>
  <si>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</si>
  <si>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</si>
  <si>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</si>
  <si>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</si>
  <si>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</si>
  <si>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</si>
  <si>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</si>
  <si>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</si>
  <si>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</si>
  <si>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</si>
  <si>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</si>
  <si>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</si>
  <si>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</si>
  <si>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</si>
  <si>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</si>
  <si>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</si>
  <si>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</si>
  <si>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</si>
  <si>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</si>
  <si>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</si>
  <si>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</si>
  <si>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</si>
  <si>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</si>
  <si>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</si>
  <si>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</si>
  <si>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</si>
  <si>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</si>
  <si>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</si>
  <si>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</si>
  <si>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</si>
  <si>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</si>
  <si>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</si>
  <si>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</si>
  <si>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</si>
  <si>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</si>
  <si>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</si>
  <si>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</si>
  <si>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</si>
  <si>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</si>
  <si>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</si>
  <si>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</si>
  <si>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</si>
  <si>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</si>
  <si>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</si>
  <si>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</si>
  <si>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</si>
  <si>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</si>
  <si>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</si>
  <si>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</si>
  <si>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</si>
  <si>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</si>
  <si>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</si>
  <si>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</si>
  <si>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</si>
  <si>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</si>
  <si>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</si>
  <si>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</si>
  <si>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</si>
  <si>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</si>
  <si>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</si>
  <si>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</si>
  <si>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</si>
  <si>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</si>
  <si>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</si>
  <si>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</si>
  <si>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</si>
  <si>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</si>
  <si>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</si>
  <si>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</si>
  <si>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</si>
  <si>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</si>
  <si>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</si>
  <si>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</si>
  <si>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</si>
  <si>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</si>
  <si>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</si>
  <si>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</si>
  <si>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</si>
  <si>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</si>
  <si>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</si>
  <si>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</si>
  <si>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</si>
  <si>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</si>
  <si>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</si>
  <si>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</si>
  <si>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</si>
  <si>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</si>
  <si>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</si>
  <si>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</si>
  <si>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</si>
  <si>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</si>
  <si>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</si>
  <si>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</si>
  <si>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</si>
  <si>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</si>
  <si>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</si>
  <si>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</si>
  <si>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</si>
  <si>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</si>
  <si>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</si>
  <si>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</si>
  <si>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</si>
  <si>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</si>
  <si>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</si>
  <si>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</si>
  <si>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</si>
  <si>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</si>
  <si>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</si>
  <si>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</si>
  <si>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</si>
  <si>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</si>
  <si>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</si>
  <si>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</si>
  <si>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</si>
  <si>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</si>
  <si>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</si>
  <si>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</si>
  <si>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</si>
  <si>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</si>
  <si>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</si>
  <si>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</si>
  <si>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</si>
  <si>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</si>
  <si>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</si>
  <si>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</si>
  <si>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</si>
  <si>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</si>
  <si>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</si>
  <si>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</si>
  <si>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</si>
  <si>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</si>
  <si>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</si>
  <si>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</si>
  <si>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</si>
  <si>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</si>
  <si>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</si>
  <si>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</si>
  <si>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</si>
  <si>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</si>
  <si>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</si>
  <si>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</si>
  <si>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</si>
  <si>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</si>
  <si>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</si>
  <si>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</si>
  <si>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</si>
  <si>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</si>
  <si>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</si>
  <si>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</si>
  <si>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</si>
  <si>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</si>
  <si>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</si>
  <si>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</si>
  <si>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</si>
  <si>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</si>
  <si>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</si>
  <si>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</si>
  <si>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</si>
  <si>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</si>
  <si>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</si>
  <si>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</si>
  <si>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</si>
  <si>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</si>
  <si>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</si>
  <si>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</si>
  <si>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</si>
  <si>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</si>
  <si>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</si>
  <si>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</si>
  <si>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</si>
  <si>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</si>
  <si>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</si>
  <si>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</si>
  <si>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</si>
  <si>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</si>
  <si>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</si>
  <si>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</si>
  <si>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</si>
  <si>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</si>
  <si>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</si>
  <si>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</si>
  <si>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</si>
  <si>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</si>
  <si>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</si>
  <si>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</si>
  <si>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</si>
  <si>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</si>
  <si>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</si>
  <si>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</si>
  <si>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</si>
  <si>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</si>
  <si>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</si>
  <si>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</si>
  <si>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</si>
  <si>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</si>
  <si>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</si>
  <si>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</si>
  <si>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</si>
  <si>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</si>
  <si>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</si>
  <si>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</si>
  <si>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</si>
  <si>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</si>
  <si>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</si>
  <si>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</si>
  <si>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</si>
  <si>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</si>
  <si>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</si>
  <si>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</si>
  <si>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</si>
  <si>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</si>
  <si>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</si>
  <si>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</si>
  <si>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</si>
  <si>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</si>
  <si>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</si>
  <si>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</si>
  <si>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</si>
  <si>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</si>
  <si>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</si>
  <si>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</si>
  <si>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</si>
  <si>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</si>
  <si>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</si>
  <si>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</si>
  <si>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</si>
  <si>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</si>
  <si>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</si>
  <si>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</si>
  <si>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</si>
  <si>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</si>
  <si>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</si>
  <si>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</si>
  <si>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</si>
  <si>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</si>
  <si>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</si>
  <si>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</si>
  <si>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</si>
  <si>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</si>
  <si>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</si>
  <si>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</si>
  <si>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</si>
  <si>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</si>
  <si>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</si>
  <si>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</si>
  <si>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</si>
  <si>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</si>
  <si>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</si>
  <si>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</si>
  <si>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</si>
  <si>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</si>
  <si>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</si>
  <si>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</si>
  <si>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</si>
  <si>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</si>
  <si>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</si>
  <si>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</si>
  <si>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</si>
  <si>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</si>
  <si>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</si>
  <si>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</si>
  <si>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</si>
  <si>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</si>
  <si>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</si>
  <si>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</si>
  <si>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</si>
  <si>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</si>
  <si>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</si>
  <si>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</si>
  <si>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</si>
  <si>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</si>
  <si>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</si>
  <si>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</si>
  <si>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</si>
  <si>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</si>
  <si>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</si>
  <si>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</si>
  <si>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</si>
  <si>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</si>
  <si>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</si>
  <si>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</si>
  <si>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</si>
  <si>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</si>
  <si>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</si>
  <si>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</si>
  <si>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</si>
  <si>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</si>
  <si>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</si>
  <si>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</si>
  <si>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</si>
  <si>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</si>
  <si>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</si>
  <si>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</si>
  <si>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</si>
  <si>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</si>
  <si>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</si>
  <si>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</si>
  <si>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</si>
  <si>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</si>
  <si>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</si>
  <si>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</si>
  <si>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</si>
  <si>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</si>
  <si>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</si>
  <si>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</si>
  <si>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</si>
  <si>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</si>
  <si>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</si>
  <si>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</si>
  <si>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</si>
  <si>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</si>
  <si>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</si>
  <si>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</si>
  <si>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</si>
  <si>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</si>
  <si>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</si>
  <si>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</si>
  <si>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</si>
  <si>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</si>
  <si>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</si>
  <si>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</si>
  <si>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</si>
  <si>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</si>
  <si>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</si>
  <si>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</si>
  <si>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</si>
  <si>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</si>
  <si>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</si>
  <si>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</si>
  <si>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</si>
  <si>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</si>
  <si>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</si>
  <si>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</si>
  <si>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</si>
  <si>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</si>
  <si>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</si>
  <si>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</si>
  <si>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</si>
  <si>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</si>
  <si>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</si>
  <si>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</si>
  <si>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</si>
  <si>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</si>
  <si>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</si>
  <si>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</si>
  <si>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</si>
  <si>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</si>
  <si>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</si>
  <si>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</si>
  <si>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</si>
  <si>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</si>
  <si>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</si>
  <si>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</si>
  <si>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</si>
  <si>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</si>
  <si>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</si>
  <si>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</si>
  <si>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</si>
  <si>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</si>
  <si>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</si>
  <si>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</si>
  <si>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</si>
  <si>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</si>
  <si>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</si>
  <si>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</si>
  <si>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</si>
  <si>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</si>
  <si>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</si>
  <si>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</si>
  <si>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</si>
  <si>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</si>
  <si>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</si>
  <si>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</si>
  <si>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</si>
  <si>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</si>
  <si>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</si>
  <si>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</si>
  <si>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</si>
  <si>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</si>
  <si>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</si>
  <si>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</si>
  <si>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</si>
  <si>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</si>
  <si>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</si>
  <si>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</si>
  <si>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</si>
  <si>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</si>
  <si>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</si>
  <si>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</si>
  <si>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</si>
  <si>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</si>
  <si>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</si>
  <si>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</si>
  <si>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</si>
  <si>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</si>
  <si>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</si>
  <si>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</si>
  <si>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</si>
  <si>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</si>
  <si>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</si>
  <si>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</si>
  <si>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</si>
  <si>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</si>
  <si>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</si>
  <si>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</si>
  <si>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</si>
  <si>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</si>
  <si>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</si>
  <si>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</si>
  <si>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</si>
  <si>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</si>
  <si>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</si>
  <si>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</si>
  <si>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</si>
  <si>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</si>
  <si>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</si>
  <si>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</si>
  <si>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</si>
  <si>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</si>
  <si>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</si>
  <si>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</si>
  <si>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</si>
  <si>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</si>
  <si>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</si>
  <si>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</si>
  <si>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</si>
  <si>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</si>
  <si>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</si>
  <si>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</si>
  <si>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</si>
  <si>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</si>
  <si>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</si>
  <si>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</si>
  <si>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</si>
  <si>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</si>
  <si>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</si>
  <si>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</si>
  <si>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</si>
  <si>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</si>
  <si>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</si>
  <si>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</si>
  <si>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</si>
  <si>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</si>
  <si>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</si>
  <si>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</si>
  <si>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</si>
  <si>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</si>
  <si>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</si>
  <si>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</si>
  <si>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</si>
  <si>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</si>
  <si>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</si>
  <si>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</si>
  <si>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</si>
  <si>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</si>
  <si>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</si>
  <si>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</si>
  <si>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</si>
  <si>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</si>
  <si>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</si>
  <si>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</si>
  <si>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</si>
  <si>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</si>
  <si>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</si>
  <si>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</si>
  <si>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</si>
  <si>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</si>
  <si>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</si>
  <si>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</si>
  <si>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</si>
  <si>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</si>
  <si>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</si>
  <si>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</si>
  <si>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</si>
  <si>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</si>
  <si>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</si>
  <si>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</si>
  <si>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</si>
  <si>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</si>
  <si>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</si>
  <si>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</si>
  <si>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</si>
  <si>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</si>
  <si>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</si>
  <si>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</si>
  <si>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</si>
  <si>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</si>
  <si>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</si>
  <si>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</si>
  <si>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</si>
  <si>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</si>
  <si>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</si>
  <si>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</si>
  <si>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</si>
  <si>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</si>
  <si>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</si>
  <si>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</si>
  <si>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</si>
  <si>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</si>
  <si>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</si>
  <si>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</si>
  <si>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</si>
  <si>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</si>
  <si>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</si>
  <si>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</si>
  <si>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</si>
  <si>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</si>
  <si>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</si>
  <si>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</si>
  <si>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</si>
  <si>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</si>
  <si>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</si>
  <si>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</si>
  <si>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</si>
  <si>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</si>
  <si>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</si>
  <si>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</si>
  <si>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</si>
  <si>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</si>
  <si>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</si>
  <si>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</si>
  <si>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</si>
  <si>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</si>
  <si>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</si>
  <si>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</si>
  <si>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</si>
  <si>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</si>
  <si>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</si>
  <si>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</si>
  <si>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</si>
  <si>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</si>
  <si>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</si>
  <si>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</si>
  <si>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</si>
  <si>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</si>
  <si>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</si>
  <si>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</si>
  <si>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</si>
  <si>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</si>
  <si>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</si>
  <si>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</si>
  <si>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</si>
  <si>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</si>
  <si>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</si>
  <si>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</si>
  <si>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</si>
  <si>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</si>
  <si>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</si>
  <si>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</si>
  <si>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</si>
  <si>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</si>
  <si>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</si>
  <si>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</si>
  <si>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</si>
  <si>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</si>
  <si>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</si>
  <si>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</si>
  <si>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</si>
  <si>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</si>
  <si>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</si>
  <si>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</si>
  <si>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</si>
  <si>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</si>
  <si>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</si>
  <si>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</si>
  <si>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</si>
  <si>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</si>
  <si>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</si>
  <si>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</si>
  <si>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SET-UP: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</si>
  <si>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The shift prior set the physical PIT, Dock, and ICQA/PS/Learning Staffing Boards for desired assignments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</si>
  <si>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Scan the badges to the corresponding fields in the corresponding tabs that align with the board and role where the Associate’s magnet is placed.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</si>
  <si>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Save a copy of document as “HDC3 Auto Virtual Staffing Board [Shift] [Date]”, i.e. “HDC3 Auto Virtual Staffing Board BHN 10-05-2023”.</t>
    </r>
  </si>
  <si>
    <t>USE: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</si>
  <si>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Open document and select “Staffing” Tab.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</si>
  <si>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Highlight cell B14 directly under blue box reading “Scan Badge”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</si>
  <si>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Scan Associates badge to display login confirmation, Assigned Task, and Assigned Stand-Up (PIT/DOCK).</t>
    </r>
  </si>
  <si>
    <t>ROSTER UPDATE:</t>
  </si>
  <si>
    <t>1.       Go to https://fclm-portal.amazon.com/employee/employeeRoster?&amp;warehouseId=HDC3</t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</si>
  <si>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Under “Employee Status” select checkboxes for LOA and Exempt alongside Active to get full roster.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</si>
  <si>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“Show Advanced Options”.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</si>
  <si>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Deselect all pre-selected checkboxes EXCEPT “User ID” and “Badge Barcode ID”.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</si>
  <si>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CSV to generate updated roster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</si>
  <si>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Copy data from employeeList-HDC3 file.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</si>
  <si>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Paste employeeList-HDC3 data in columns (HI) of “Roster” tab before copying and pasting Badge Barcode ID data in Column A and User ID data in Column B to transpose order of column data.</t>
    </r>
  </si>
  <si>
    <r>
      <t>8.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Save document to update roster data.</t>
    </r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</si>
  <si>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</si>
  <si>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</si>
  <si>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</si>
  <si>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</si>
  <si>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</si>
  <si>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</si>
  <si>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</si>
  <si>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</si>
  <si>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</si>
  <si>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</si>
  <si>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</si>
  <si>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</si>
  <si>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</si>
  <si>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</si>
  <si>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</si>
  <si>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</si>
  <si>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</si>
  <si>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</si>
  <si>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</si>
  <si>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</si>
  <si>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</si>
  <si>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</si>
  <si>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</si>
  <si>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</si>
  <si>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</si>
  <si>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</si>
  <si>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</si>
  <si>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</si>
  <si>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</si>
  <si>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</si>
  <si>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</si>
  <si>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</si>
  <si>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</si>
  <si>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</si>
  <si>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</si>
  <si>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</si>
  <si>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</si>
  <si>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</si>
  <si>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</si>
  <si>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</si>
  <si>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</si>
  <si>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</si>
  <si>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</si>
  <si>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</si>
  <si>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</si>
  <si>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</si>
  <si>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</si>
  <si>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</si>
  <si>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</si>
  <si>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</si>
  <si>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</si>
  <si>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</si>
  <si>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</si>
  <si>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</si>
  <si>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</si>
  <si>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</si>
  <si>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</si>
  <si>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</si>
  <si>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</si>
  <si>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</si>
  <si>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</si>
  <si>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</si>
  <si>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</si>
  <si>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</si>
  <si>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</si>
  <si>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</si>
  <si>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</si>
  <si>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</si>
  <si>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</si>
  <si>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</si>
  <si>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</si>
  <si>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</si>
  <si>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</si>
  <si>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</si>
  <si>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</si>
  <si>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</si>
  <si>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</si>
  <si>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</si>
  <si>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</si>
  <si>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</si>
  <si>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</si>
  <si>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</si>
  <si>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</si>
  <si>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</si>
  <si>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</si>
  <si>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</si>
  <si>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</si>
  <si>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</si>
  <si>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</si>
  <si>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</si>
  <si>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</si>
  <si>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</si>
  <si>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</si>
  <si>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</si>
  <si>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</si>
  <si>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</si>
  <si>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</si>
  <si>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</si>
  <si>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</si>
  <si>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</si>
  <si>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</si>
  <si>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</si>
  <si>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</si>
  <si>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</si>
  <si>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</si>
  <si>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</si>
  <si>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</si>
  <si>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</si>
  <si>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</si>
  <si>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</si>
  <si>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</si>
  <si>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</si>
  <si>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</si>
  <si>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</si>
  <si>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</si>
  <si>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</si>
  <si>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</si>
  <si>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</si>
  <si>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</si>
  <si>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</si>
  <si>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</si>
  <si>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</si>
  <si>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</si>
  <si>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</si>
  <si>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</si>
  <si>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</si>
  <si>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</si>
  <si>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</si>
  <si>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</si>
  <si>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</si>
  <si>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</si>
  <si>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</si>
  <si>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</si>
  <si>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</si>
  <si>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</si>
  <si>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</si>
  <si>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</si>
  <si>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</si>
  <si>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</si>
  <si>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</si>
  <si>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</si>
  <si>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</si>
  <si>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</si>
  <si>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</si>
  <si>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</si>
  <si>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</si>
  <si>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</si>
  <si>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</si>
  <si>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</si>
  <si>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</si>
  <si>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</si>
  <si>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</si>
  <si>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</si>
  <si>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</si>
  <si>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</si>
  <si>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</si>
  <si>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</si>
  <si>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</si>
  <si>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</si>
  <si>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</si>
  <si>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</si>
  <si>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</si>
  <si>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</si>
  <si>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</si>
  <si>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</si>
  <si>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</si>
  <si>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</si>
  <si>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</si>
  <si>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</si>
  <si>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</si>
  <si>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off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</si>
  <si>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</si>
  <si>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</si>
  <si>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</si>
  <si>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</si>
  <si>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</si>
  <si>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</si>
  <si>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</si>
  <si>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</si>
  <si>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</si>
  <si>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</si>
  <si>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</si>
  <si>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</si>
  <si>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</si>
  <si>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</si>
  <si>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</si>
  <si>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</si>
  <si>
    <t>Not on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</si>
</sst>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7"/>
      <color theme="1"/>
      <name val="Times New Roman"/>
      <family val="1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9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 indent="4"/>
    </xf>
    <xf numFmtId="0" fontId="7" fillId="0" borderId="0" xfId="1" applyAlignment="1">
      <alignment horizontal="left" vertical="center" indent="4"/>
    </xf>
    <xf numFmtId="0" fontId="11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4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6" fillId="11" borderId="27" xfId="0" applyFont="1" applyFill="1" applyBorder="1" applyAlignment="1">
      <alignment horizontal="center" vertical="center"/>
    </xf>
    <xf numFmtId="0" fontId="16" fillId="11" borderId="20" xfId="0" applyFont="1" applyFill="1" applyBorder="1" applyAlignment="1">
      <alignment horizontal="center" vertical="center"/>
    </xf>
    <xf numFmtId="0" fontId="17" fillId="12" borderId="27" xfId="0" applyFont="1" applyFill="1" applyBorder="1" applyAlignment="1">
      <alignment horizontal="center" vertical="center"/>
    </xf>
    <xf numFmtId="0" fontId="17" fillId="12" borderId="20" xfId="0" applyFont="1" applyFill="1" applyBorder="1" applyAlignment="1">
      <alignment horizontal="center" vertical="center"/>
    </xf>
    <xf numFmtId="0" fontId="15" fillId="13" borderId="0" xfId="0" applyFont="1" applyFill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2" Type="http://schemas.openxmlformats.org/officeDocument/2006/relationships/image" Target="../media/image2.emf"/><Relationship Id="rId16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5819169</xdr:colOff>
      <xdr:row>20</xdr:row>
      <xdr:rowOff>18910</xdr:rowOff>
    </xdr:from>
    <xdr:to>
      <xdr:col>1</xdr:col>
      <xdr:colOff>5984769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867044" y="5276710"/>
          <a:ext cx="165600" cy="174129"/>
        </a:xfrm>
        <a:prstGeom prst="ellipse">
          <a:avLst/>
        </a:prstGeom>
        <a:solidFill>
          <a:srgbClr val="A6A6A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B300D05-ED28-337A-464F-36CEB0995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8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133350</xdr:colOff>
          <xdr:row>49</xdr:row>
          <xdr:rowOff>61480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71005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66675</xdr:colOff>
          <xdr:row>52</xdr:row>
          <xdr:rowOff>61479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66675</xdr:colOff>
          <xdr:row>55</xdr:row>
          <xdr:rowOff>25112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66675</xdr:colOff>
          <xdr:row>58</xdr:row>
          <xdr:rowOff>6061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66675</xdr:colOff>
          <xdr:row>60</xdr:row>
          <xdr:rowOff>185305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61479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51955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187036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185305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400050</xdr:colOff>
          <xdr:row>49</xdr:row>
          <xdr:rowOff>51955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400050</xdr:colOff>
          <xdr:row>52</xdr:row>
          <xdr:rowOff>6061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fclm-portal.amazon.com/employee/employeeRoster?&amp;warehouseId=HDC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zoomScaleNormal="100" workbookViewId="0"/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1337</v>
      </c>
    </row>
    <row r="2" spans="1:26" ht="19.5" thickBot="1">
      <c r="B2" s="34" t="s">
        <v>12</v>
      </c>
      <c r="D2" s="104" t="s">
        <v>1347</v>
      </c>
      <c r="E2" s="105"/>
      <c r="G2" s="64" t="s">
        <v>1338</v>
      </c>
    </row>
    <row r="3" spans="1:26" ht="14.45" customHeight="1" thickBot="1">
      <c r="B3" s="79" t="s">
        <v>1355</v>
      </c>
      <c r="D3" s="106">
        <f>Headcount!R3</f>
        <v>0</v>
      </c>
      <c r="E3" s="107"/>
    </row>
    <row r="4" spans="1:26" ht="14.45" customHeight="1" thickBot="1">
      <c r="B4" s="80"/>
      <c r="D4" s="104" t="s">
        <v>1348</v>
      </c>
      <c r="E4" s="105"/>
    </row>
    <row r="5" spans="1:26" ht="15" customHeight="1" thickBot="1">
      <c r="B5" s="80"/>
      <c r="D5" s="106">
        <f>Headcount!R5</f>
        <v>0</v>
      </c>
      <c r="E5" s="107"/>
    </row>
    <row r="6" spans="1:26" ht="15.75" thickBot="1">
      <c r="A6" s="4"/>
      <c r="B6" s="81"/>
      <c r="D6" s="104" t="s">
        <v>1354</v>
      </c>
      <c r="E6" s="105"/>
    </row>
    <row r="7" spans="1:26" ht="15.75" thickBot="1">
      <c r="B7"/>
      <c r="D7" s="106">
        <f>Headcount!P20</f>
        <v>0</v>
      </c>
      <c r="E7" s="107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1352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/>
    </row>
    <row r="21" spans="2:2" ht="15.75">
      <c r="B21" s="108" t="s">
        <v>1339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8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1170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9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1174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9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9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1171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9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1172</v>
      </c>
      <c r="E7" s="46"/>
      <c r="F7" s="26" t="e">
        <f>VLOOKUP(E7,Roster!$A$2:$B$5000,2,FALSE)</f>
        <v>#N/A</v>
      </c>
      <c r="G7" s="24" t="s">
        <v>1054</v>
      </c>
      <c r="I7" s="57"/>
      <c r="J7" s="25" t="e">
        <f>VLOOKUP(I7,Roster!$A$2:$B$5000,2,FALSE)</f>
        <v>#N/A</v>
      </c>
      <c r="K7" s="39" t="s">
        <v>1056</v>
      </c>
      <c r="M7" s="59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1173</v>
      </c>
      <c r="E8" s="56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9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9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6"/>
      <c r="J10" s="25" t="e">
        <f>VLOOKUP(I10,Roster!$A$2:$B$5000,2,FALSE)</f>
        <v>#N/A</v>
      </c>
      <c r="K10" s="39" t="s">
        <v>1056</v>
      </c>
      <c r="M10" s="59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1168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9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1177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9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3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1169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9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1169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9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1176</v>
      </c>
    </row>
    <row r="15" spans="1:23">
      <c r="A15" s="23"/>
      <c r="B15" s="25" t="e">
        <f>VLOOKUP(A15,Roster!$A$2:$B$5000,2,FALSE)</f>
        <v>#N/A</v>
      </c>
      <c r="C15" s="23" t="s">
        <v>1175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9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1176</v>
      </c>
    </row>
    <row r="16" spans="1:23" ht="16.5" thickBot="1">
      <c r="A16" s="23"/>
      <c r="B16" s="25" t="e">
        <f>VLOOKUP(A16,Roster!$A$2:$B$5000,2,FALSE)</f>
        <v>#N/A</v>
      </c>
      <c r="C16" s="23" t="s">
        <v>1309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60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1176</v>
      </c>
    </row>
    <row r="17" spans="1:19" ht="16.5" thickBot="1">
      <c r="A17" s="23"/>
      <c r="B17" s="25" t="e">
        <f>VLOOKUP(A17,Roster!$A$2:$B$5000,2,FALSE)</f>
        <v>#N/A</v>
      </c>
      <c r="C17" s="23" t="s">
        <v>1309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8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1310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9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1310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9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60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8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9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6"/>
      <c r="J23" s="25" t="e">
        <f>VLOOKUP(I23,Roster!$A$2:$B$5000,2,FALSE)</f>
        <v>#N/A</v>
      </c>
      <c r="K23" s="39" t="s">
        <v>1058</v>
      </c>
      <c r="M23" s="59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9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9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9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9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60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61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1294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1332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tabSelected="1" topLeftCell="A3" zoomScale="55" zoomScaleNormal="55" workbookViewId="0">
      <selection activeCell="N40" sqref="N40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5" t="s">
        <v>1072</v>
      </c>
      <c r="B1" s="86"/>
      <c r="C1" s="87"/>
      <c r="D1" s="5"/>
      <c r="E1" s="88" t="s">
        <v>1073</v>
      </c>
      <c r="F1" s="89"/>
      <c r="G1" s="89"/>
      <c r="H1" s="89"/>
      <c r="I1" s="89"/>
      <c r="J1" s="89"/>
      <c r="K1" s="90"/>
      <c r="M1" s="82" t="s">
        <v>1086</v>
      </c>
      <c r="N1" s="83"/>
      <c r="O1" s="84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82" t="s">
        <v>1074</v>
      </c>
      <c r="F2" s="83"/>
      <c r="G2" s="84"/>
      <c r="I2" s="82" t="s">
        <v>1080</v>
      </c>
      <c r="J2" s="83"/>
      <c r="K2" s="84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62"/>
      <c r="N3" s="22" t="e">
        <f>VLOOKUP(M3,Roster!$A$2:$B$5000,2,FALSE)</f>
        <v>#N/A</v>
      </c>
      <c r="O3" s="38" t="s">
        <v>1352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62"/>
      <c r="N4" s="25" t="e">
        <f>VLOOKUP(M4,Roster!$A$2:$B$5000,2,FALSE)</f>
        <v>#N/A</v>
      </c>
      <c r="O4" s="38" t="s">
        <v>1352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62"/>
      <c r="N5" s="25" t="e">
        <f>VLOOKUP(M5,Roster!$A$2:$B$5000,2,FALSE)</f>
        <v>#N/A</v>
      </c>
      <c r="O5" s="38" t="s">
        <v>1352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62"/>
      <c r="N6" s="25" t="e">
        <f>VLOOKUP(M6,Roster!$A$2:$B$5000,2,FALSE)</f>
        <v>#N/A</v>
      </c>
      <c r="O6" s="38" t="s">
        <v>1352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62"/>
      <c r="N7" s="25" t="e">
        <f>VLOOKUP(M7,Roster!$A$2:$B$5000,2,FALSE)</f>
        <v>#N/A</v>
      </c>
      <c r="O7" s="38" t="s">
        <v>1352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62"/>
      <c r="N8" s="25" t="e">
        <f>VLOOKUP(M8,Roster!$A$2:$B$5000,2,FALSE)</f>
        <v>#N/A</v>
      </c>
      <c r="O8" s="38" t="s">
        <v>1352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62"/>
      <c r="N9" s="25" t="e">
        <f>VLOOKUP(M9,Roster!$A$2:$B$5000,2,FALSE)</f>
        <v>#N/A</v>
      </c>
      <c r="O9" s="38" t="s">
        <v>1352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62"/>
      <c r="N10" s="25" t="e">
        <f>VLOOKUP(M10,Roster!$A$2:$B$5000,2,FALSE)</f>
        <v>#N/A</v>
      </c>
      <c r="O10" s="38" t="s">
        <v>1352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62"/>
      <c r="N11" s="25" t="e">
        <f>VLOOKUP(M11,Roster!$A$2:$B$5000,2,FALSE)</f>
        <v>#N/A</v>
      </c>
      <c r="O11" s="38" t="s">
        <v>1352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62"/>
      <c r="N12" s="25" t="e">
        <f>VLOOKUP(M12,Roster!$A$2:$B$5000,2,FALSE)</f>
        <v>#N/A</v>
      </c>
      <c r="O12" s="38" t="s">
        <v>1352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62"/>
      <c r="N13" s="25" t="e">
        <f>VLOOKUP(M13,Roster!$A$2:$B$5000,2,FALSE)</f>
        <v>#N/A</v>
      </c>
      <c r="O13" s="38" t="s">
        <v>1352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62"/>
      <c r="N14" s="25" t="e">
        <f>VLOOKUP(M14,Roster!$A$2:$B$5000,2,FALSE)</f>
        <v>#N/A</v>
      </c>
      <c r="O14" s="38" t="s">
        <v>1352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62"/>
      <c r="N15" s="25" t="e">
        <f>VLOOKUP(M15,Roster!$A$2:$B$5000,2,FALSE)</f>
        <v>#N/A</v>
      </c>
      <c r="O15" s="38" t="s">
        <v>1352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62"/>
      <c r="N16" s="25" t="e">
        <f>VLOOKUP(M16,Roster!$A$2:$B$5000,2,FALSE)</f>
        <v>#N/A</v>
      </c>
      <c r="O16" s="38" t="s">
        <v>1353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62"/>
      <c r="N17" s="25" t="e">
        <f>VLOOKUP(M17,Roster!$A$2:$B$5000,2,FALSE)</f>
        <v>#N/A</v>
      </c>
      <c r="O17" s="38" t="s">
        <v>1353</v>
      </c>
    </row>
    <row r="18" spans="1:15" ht="16.5" thickBot="1">
      <c r="A18" s="43"/>
      <c r="B18" s="32" t="e">
        <f>VLOOKUP(A18,Roster!$A$2:$B$5000,2,FALSE)</f>
        <v>#N/A</v>
      </c>
      <c r="C18" s="38" t="s">
        <v>1335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62"/>
      <c r="N18" s="25" t="e">
        <f>VLOOKUP(M18,Roster!$A$2:$B$5000,2,FALSE)</f>
        <v>#N/A</v>
      </c>
      <c r="O18" s="38" t="s">
        <v>1353</v>
      </c>
    </row>
    <row r="19" spans="1:15" ht="15.75">
      <c r="A19" s="23"/>
      <c r="B19" s="25" t="e">
        <f>VLOOKUP(A19,Roster!$A$2:$B$5000,2,FALSE)</f>
        <v>#N/A</v>
      </c>
      <c r="C19" s="39" t="s">
        <v>1335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1333</v>
      </c>
      <c r="M19" s="62"/>
      <c r="N19" s="25" t="e">
        <f>VLOOKUP(M19,Roster!$A$2:$B$5000,2,FALSE)</f>
        <v>#N/A</v>
      </c>
      <c r="O19" s="38" t="s">
        <v>1353</v>
      </c>
    </row>
    <row r="20" spans="1:15" ht="16.5" thickBot="1">
      <c r="A20" s="23"/>
      <c r="B20" s="25" t="e">
        <f>VLOOKUP(A20,Roster!$A$2:$B$5000,2,FALSE)</f>
        <v>#N/A</v>
      </c>
      <c r="C20" s="39" t="s">
        <v>1335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1333</v>
      </c>
      <c r="M20" s="62"/>
      <c r="N20" s="25" t="e">
        <f>VLOOKUP(M20,Roster!$A$2:$B$5000,2,FALSE)</f>
        <v>#N/A</v>
      </c>
      <c r="O20" s="38" t="s">
        <v>1353</v>
      </c>
    </row>
    <row r="21" spans="1:15" ht="15.75">
      <c r="A21" s="23"/>
      <c r="B21" s="25" t="e">
        <f>VLOOKUP(A21,Roster!$A$2:$B$5000,2,FALSE)</f>
        <v>#N/A</v>
      </c>
      <c r="C21" s="39" t="s">
        <v>1335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62"/>
      <c r="N21" s="25" t="e">
        <f>VLOOKUP(M21,Roster!$A$2:$B$5000,2,FALSE)</f>
        <v>#N/A</v>
      </c>
      <c r="O21" s="38" t="s">
        <v>1353</v>
      </c>
    </row>
    <row r="22" spans="1:15" ht="16.5" thickBot="1">
      <c r="A22" s="24"/>
      <c r="B22" s="26" t="e">
        <f>VLOOKUP(A22,Roster!$A$2:$B$5000,2,FALSE)</f>
        <v>#N/A</v>
      </c>
      <c r="C22" s="39" t="s">
        <v>1335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62"/>
      <c r="N22" s="25" t="e">
        <f>VLOOKUP(M22,Roster!$A$2:$B$5000,2,FALSE)</f>
        <v>#N/A</v>
      </c>
      <c r="O22" s="38" t="s">
        <v>1353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62"/>
      <c r="N23" s="25" t="e">
        <f>VLOOKUP(M23,Roster!$A$2:$B$5000,2,FALSE)</f>
        <v>#N/A</v>
      </c>
      <c r="O23" s="38" t="s">
        <v>1353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62"/>
      <c r="N24" s="25" t="e">
        <f>VLOOKUP(M24,Roster!$A$2:$B$5000,2,FALSE)</f>
        <v>#N/A</v>
      </c>
      <c r="O24" s="38" t="s">
        <v>1353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62"/>
      <c r="N25" s="25" t="e">
        <f>VLOOKUP(M25,Roster!$A$2:$B$5000,2,FALSE)</f>
        <v>#N/A</v>
      </c>
      <c r="O25" s="38" t="s">
        <v>1353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62"/>
      <c r="N26" s="25" t="e">
        <f>VLOOKUP(M26,Roster!$A$2:$B$5000,2,FALSE)</f>
        <v>#N/A</v>
      </c>
      <c r="O26" s="38" t="s">
        <v>1353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62"/>
      <c r="N27" s="26" t="e">
        <f>VLOOKUP(M27,Roster!$A$2:$B$5000,2,FALSE)</f>
        <v>#N/A</v>
      </c>
      <c r="O27" s="38" t="s">
        <v>1353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62"/>
      <c r="N28" s="26" t="e">
        <f>VLOOKUP(M28,Roster!$A$2:$B$5000,2,FALSE)</f>
        <v>#N/A</v>
      </c>
      <c r="O28" s="38" t="s">
        <v>1353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1334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1336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1336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1336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1336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1336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1336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unts">
          <controlPr defaultSize="0" autoLine="0" autoPict="0" r:id="rId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4" name="Counts"/>
      </mc:Fallback>
    </mc:AlternateContent>
    <mc:AlternateContent xmlns:mc="http://schemas.openxmlformats.org/markup-compatibility/2006">
      <mc:Choice Requires="x14">
        <control shapeId="5122" r:id="rId6" name="palletRacking">
          <controlPr defaultSize="0" autoLine="0" autoPict="0" r:id="rId7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6" name="palletRacking"/>
      </mc:Fallback>
    </mc:AlternateContent>
    <mc:AlternateContent xmlns:mc="http://schemas.openxmlformats.org/markup-compatibility/2006">
      <mc:Choice Requires="x14">
        <control shapeId="5124" r:id="rId8" name="SimpleBinCount">
          <controlPr defaultSize="0" autoLine="0" autoPict="0" r:id="rId9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8" name="SimpleBinCount"/>
      </mc:Fallback>
    </mc:AlternateContent>
    <mc:AlternateContent xmlns:mc="http://schemas.openxmlformats.org/markup-compatibility/2006">
      <mc:Choice Requires="x14">
        <control shapeId="5125" r:id="rId10" name="andons">
          <controlPr defaultSize="0" autoLine="0" autoPict="0" r:id="rId11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10" name="andons"/>
      </mc:Fallback>
    </mc:AlternateContent>
    <mc:AlternateContent xmlns:mc="http://schemas.openxmlformats.org/markup-compatibility/2006">
      <mc:Choice Requires="x14">
        <control shapeId="5127" r:id="rId12" name="IBJP">
          <controlPr defaultSize="0" autoLine="0" autoPict="0" r:id="rId13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12" name="IBJP"/>
      </mc:Fallback>
    </mc:AlternateContent>
    <mc:AlternateContent xmlns:mc="http://schemas.openxmlformats.org/markup-compatibility/2006">
      <mc:Choice Requires="x14">
        <control shapeId="5128" r:id="rId14" name="OBJP">
          <controlPr defaultSize="0" autoLine="0" r:id="rId1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14" name="OBJP"/>
      </mc:Fallback>
    </mc:AlternateContent>
    <mc:AlternateContent xmlns:mc="http://schemas.openxmlformats.org/markup-compatibility/2006">
      <mc:Choice Requires="x14">
        <control shapeId="5129" r:id="rId16" name="StowKiosk">
          <controlPr defaultSize="0" autoLine="0" r:id="rId17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16" name="StowKiosk"/>
      </mc:Fallback>
    </mc:AlternateContent>
    <mc:AlternateContent xmlns:mc="http://schemas.openxmlformats.org/markup-compatibility/2006">
      <mc:Choice Requires="x14">
        <control shapeId="5130" r:id="rId18" name="damage">
          <controlPr defaultSize="0" autoLine="0" r:id="rId19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18" name="damage"/>
      </mc:Fallback>
    </mc:AlternateContent>
    <mc:AlternateContent xmlns:mc="http://schemas.openxmlformats.org/markup-compatibility/2006">
      <mc:Choice Requires="x14">
        <control shapeId="5131" r:id="rId20" name="IOL">
          <controlPr defaultSize="0" autoLine="0" r:id="rId21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20" name="IOL"/>
      </mc:Fallback>
    </mc:AlternateContent>
    <mc:AlternateContent xmlns:mc="http://schemas.openxmlformats.org/markup-compatibility/2006">
      <mc:Choice Requires="x14">
        <control shapeId="5132" r:id="rId22" name="palletPS">
          <controlPr defaultSize="0" autoLine="0" r:id="rId23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22" name="palletPS"/>
      </mc:Fallback>
    </mc:AlternateContent>
    <mc:AlternateContent xmlns:mc="http://schemas.openxmlformats.org/markup-compatibility/2006">
      <mc:Choice Requires="x14">
        <control shapeId="5133" r:id="rId24" name="OBRunner">
          <controlPr defaultSize="0" autoLine="0" r:id="rId2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24" name="OBRunner"/>
      </mc:Fallback>
    </mc:AlternateContent>
    <mc:AlternateContent xmlns:mc="http://schemas.openxmlformats.org/markup-compatibility/2006">
      <mc:Choice Requires="x14">
        <control shapeId="5134" r:id="rId26" name="UISPS">
          <controlPr defaultSize="0" autoLine="0" r:id="rId27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26" name="UISPS"/>
      </mc:Fallback>
    </mc:AlternateContent>
    <mc:AlternateContent xmlns:mc="http://schemas.openxmlformats.org/markup-compatibility/2006">
      <mc:Choice Requires="x14">
        <control shapeId="5135" r:id="rId28" name="CPTChase">
          <controlPr defaultSize="0" autoLine="0" r:id="rId29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28" name="CPTChase"/>
      </mc:Fallback>
    </mc:AlternateContent>
    <mc:AlternateContent xmlns:mc="http://schemas.openxmlformats.org/markup-compatibility/2006">
      <mc:Choice Requires="x14">
        <control shapeId="5136" r:id="rId30" name="pickSkips">
          <controlPr defaultSize="0" autoLine="0" r:id="rId31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30" name="pickSkips"/>
      </mc:Fallback>
    </mc:AlternateContent>
    <mc:AlternateContent xmlns:mc="http://schemas.openxmlformats.org/markup-compatibility/2006">
      <mc:Choice Requires="x14">
        <control shapeId="5137" r:id="rId32" name="learningGeneral">
          <controlPr defaultSize="0" autoLine="0" r:id="rId33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32" name="learningGeneral"/>
      </mc:Fallback>
    </mc:AlternateContent>
    <mc:AlternateContent xmlns:mc="http://schemas.openxmlformats.org/markup-compatibility/2006">
      <mc:Choice Requires="x14">
        <control shapeId="5138" r:id="rId34" name="learningPIT">
          <controlPr defaultSize="0" autoLine="0" r:id="rId3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34" name="learningP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91" t="s">
        <v>1150</v>
      </c>
      <c r="E1" s="92"/>
      <c r="F1" s="92"/>
      <c r="G1" s="93"/>
    </row>
    <row r="2" spans="1:7">
      <c r="A2">
        <v>13567162</v>
      </c>
      <c r="B2" t="s">
        <v>24</v>
      </c>
      <c r="D2" s="94"/>
      <c r="E2" s="95"/>
      <c r="F2" s="95"/>
      <c r="G2" s="96"/>
    </row>
    <row r="3" spans="1:7">
      <c r="A3">
        <v>11499800</v>
      </c>
      <c r="B3" t="s">
        <v>25</v>
      </c>
      <c r="D3" s="94"/>
      <c r="E3" s="95"/>
      <c r="F3" s="95"/>
      <c r="G3" s="96"/>
    </row>
    <row r="4" spans="1:7">
      <c r="A4">
        <v>11830658</v>
      </c>
      <c r="B4" t="s">
        <v>26</v>
      </c>
      <c r="D4" s="94"/>
      <c r="E4" s="95"/>
      <c r="F4" s="95"/>
      <c r="G4" s="96"/>
    </row>
    <row r="5" spans="1:7">
      <c r="A5">
        <v>14813873</v>
      </c>
      <c r="B5" t="s">
        <v>27</v>
      </c>
      <c r="D5" s="94"/>
      <c r="E5" s="95"/>
      <c r="F5" s="95"/>
      <c r="G5" s="96"/>
    </row>
    <row r="6" spans="1:7" ht="15.75" thickBot="1">
      <c r="A6">
        <v>14931823</v>
      </c>
      <c r="B6" t="s">
        <v>28</v>
      </c>
      <c r="D6" s="97"/>
      <c r="E6" s="98"/>
      <c r="F6" s="98"/>
      <c r="G6" s="99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1178</v>
      </c>
    </row>
    <row r="1084" spans="1:2">
      <c r="A1084">
        <v>14033715</v>
      </c>
      <c r="B1084" t="s">
        <v>1179</v>
      </c>
    </row>
    <row r="1085" spans="1:2">
      <c r="A1085">
        <v>15162071</v>
      </c>
      <c r="B1085" t="s">
        <v>1180</v>
      </c>
    </row>
    <row r="1086" spans="1:2">
      <c r="A1086">
        <v>13545240</v>
      </c>
      <c r="B1086" t="s">
        <v>1181</v>
      </c>
    </row>
    <row r="1087" spans="1:2">
      <c r="A1087">
        <v>12253308</v>
      </c>
      <c r="B1087" t="s">
        <v>1182</v>
      </c>
    </row>
    <row r="1088" spans="1:2">
      <c r="A1088">
        <v>14844878</v>
      </c>
      <c r="B1088" t="s">
        <v>1183</v>
      </c>
    </row>
    <row r="1089" spans="1:2">
      <c r="A1089">
        <v>12256682</v>
      </c>
      <c r="B1089" t="s">
        <v>1184</v>
      </c>
    </row>
    <row r="1090" spans="1:2">
      <c r="A1090">
        <v>12350615</v>
      </c>
      <c r="B1090" t="s">
        <v>1185</v>
      </c>
    </row>
    <row r="1091" spans="1:2">
      <c r="A1091">
        <v>13783201</v>
      </c>
      <c r="B1091" t="s">
        <v>1186</v>
      </c>
    </row>
    <row r="1092" spans="1:2">
      <c r="A1092">
        <v>15247849</v>
      </c>
      <c r="B1092" t="s">
        <v>1187</v>
      </c>
    </row>
    <row r="1093" spans="1:2">
      <c r="A1093">
        <v>12463422</v>
      </c>
      <c r="B1093" t="s">
        <v>1188</v>
      </c>
    </row>
    <row r="1094" spans="1:2">
      <c r="A1094">
        <v>14628310</v>
      </c>
      <c r="B1094" t="s">
        <v>1189</v>
      </c>
    </row>
    <row r="1095" spans="1:2">
      <c r="A1095">
        <v>13359781</v>
      </c>
      <c r="B1095" t="s">
        <v>1190</v>
      </c>
    </row>
    <row r="1096" spans="1:2">
      <c r="A1096">
        <v>345197</v>
      </c>
      <c r="B1096" t="s">
        <v>1191</v>
      </c>
    </row>
    <row r="1097" spans="1:2">
      <c r="A1097">
        <v>13074019</v>
      </c>
      <c r="B1097" t="s">
        <v>1192</v>
      </c>
    </row>
    <row r="1098" spans="1:2">
      <c r="A1098">
        <v>15212703</v>
      </c>
      <c r="B1098" t="s">
        <v>1193</v>
      </c>
    </row>
    <row r="1099" spans="1:2">
      <c r="A1099">
        <v>222049</v>
      </c>
      <c r="B1099" t="s">
        <v>1194</v>
      </c>
    </row>
    <row r="1100" spans="1:2">
      <c r="A1100">
        <v>13126946</v>
      </c>
      <c r="B1100" t="s">
        <v>1195</v>
      </c>
    </row>
    <row r="1101" spans="1:2">
      <c r="A1101">
        <v>14838039</v>
      </c>
      <c r="B1101" t="s">
        <v>1196</v>
      </c>
    </row>
    <row r="1102" spans="1:2">
      <c r="A1102">
        <v>11543002</v>
      </c>
      <c r="B1102" t="s">
        <v>1197</v>
      </c>
    </row>
    <row r="1103" spans="1:2">
      <c r="A1103">
        <v>13148694</v>
      </c>
      <c r="B1103" t="s">
        <v>1198</v>
      </c>
    </row>
    <row r="1104" spans="1:2">
      <c r="A1104">
        <v>15157983</v>
      </c>
      <c r="B1104" t="s">
        <v>1199</v>
      </c>
    </row>
    <row r="1105" spans="1:2">
      <c r="A1105">
        <v>13296997</v>
      </c>
      <c r="B1105" t="s">
        <v>1200</v>
      </c>
    </row>
    <row r="1106" spans="1:2">
      <c r="A1106">
        <v>11843931</v>
      </c>
      <c r="B1106" t="s">
        <v>1201</v>
      </c>
    </row>
    <row r="1107" spans="1:2">
      <c r="A1107">
        <v>13448268</v>
      </c>
      <c r="B1107" t="s">
        <v>1202</v>
      </c>
    </row>
    <row r="1108" spans="1:2">
      <c r="A1108">
        <v>8905</v>
      </c>
      <c r="B1108" t="s">
        <v>1203</v>
      </c>
    </row>
    <row r="1109" spans="1:2">
      <c r="A1109">
        <v>12135595</v>
      </c>
      <c r="B1109" t="s">
        <v>1204</v>
      </c>
    </row>
    <row r="1110" spans="1:2">
      <c r="A1110">
        <v>13305659</v>
      </c>
      <c r="B1110" t="s">
        <v>1205</v>
      </c>
    </row>
    <row r="1111" spans="1:2">
      <c r="A1111">
        <v>11943891</v>
      </c>
      <c r="B1111" t="s">
        <v>1206</v>
      </c>
    </row>
    <row r="1112" spans="1:2">
      <c r="A1112">
        <v>11799849</v>
      </c>
      <c r="B1112" t="s">
        <v>1207</v>
      </c>
    </row>
    <row r="1113" spans="1:2">
      <c r="A1113">
        <v>14850693</v>
      </c>
      <c r="B1113" t="s">
        <v>1208</v>
      </c>
    </row>
    <row r="1114" spans="1:2">
      <c r="A1114">
        <v>13117530</v>
      </c>
      <c r="B1114" t="s">
        <v>1209</v>
      </c>
    </row>
    <row r="1115" spans="1:2">
      <c r="A1115">
        <v>13620589</v>
      </c>
      <c r="B1115" t="s">
        <v>1210</v>
      </c>
    </row>
    <row r="1116" spans="1:2">
      <c r="A1116">
        <v>15144529</v>
      </c>
      <c r="B1116" t="s">
        <v>1211</v>
      </c>
    </row>
    <row r="1117" spans="1:2">
      <c r="A1117">
        <v>11425590</v>
      </c>
      <c r="B1117" t="s">
        <v>1212</v>
      </c>
    </row>
    <row r="1118" spans="1:2">
      <c r="A1118">
        <v>13764558</v>
      </c>
      <c r="B1118" t="s">
        <v>1213</v>
      </c>
    </row>
    <row r="1119" spans="1:2">
      <c r="A1119">
        <v>12014202</v>
      </c>
      <c r="B1119" t="s">
        <v>1214</v>
      </c>
    </row>
    <row r="1120" spans="1:2">
      <c r="A1120">
        <v>11285871</v>
      </c>
      <c r="B1120" t="s">
        <v>1215</v>
      </c>
    </row>
    <row r="1121" spans="1:2">
      <c r="A1121">
        <v>13937091</v>
      </c>
      <c r="B1121" t="s">
        <v>1216</v>
      </c>
    </row>
    <row r="1122" spans="1:2">
      <c r="A1122">
        <v>13241650</v>
      </c>
      <c r="B1122" t="s">
        <v>1217</v>
      </c>
    </row>
    <row r="1123" spans="1:2">
      <c r="A1123">
        <v>15134148</v>
      </c>
      <c r="B1123" t="s">
        <v>1218</v>
      </c>
    </row>
    <row r="1124" spans="1:2">
      <c r="A1124">
        <v>13891564</v>
      </c>
      <c r="B1124" t="s">
        <v>1219</v>
      </c>
    </row>
    <row r="1125" spans="1:2">
      <c r="A1125">
        <v>13260799</v>
      </c>
      <c r="B1125" t="s">
        <v>1220</v>
      </c>
    </row>
    <row r="1126" spans="1:2">
      <c r="A1126">
        <v>11936550</v>
      </c>
      <c r="B1126" t="s">
        <v>1221</v>
      </c>
    </row>
    <row r="1127" spans="1:2">
      <c r="A1127">
        <v>14546688</v>
      </c>
      <c r="B1127" t="s">
        <v>1222</v>
      </c>
    </row>
    <row r="1128" spans="1:2">
      <c r="A1128">
        <v>13763030</v>
      </c>
      <c r="B1128" t="s">
        <v>1223</v>
      </c>
    </row>
    <row r="1129" spans="1:2">
      <c r="A1129">
        <v>12909139</v>
      </c>
      <c r="B1129" t="s">
        <v>1224</v>
      </c>
    </row>
    <row r="1130" spans="1:2">
      <c r="A1130">
        <v>14870490</v>
      </c>
      <c r="B1130" t="s">
        <v>1225</v>
      </c>
    </row>
    <row r="1131" spans="1:2">
      <c r="A1131">
        <v>11150708</v>
      </c>
      <c r="B1131" t="s">
        <v>1226</v>
      </c>
    </row>
    <row r="1132" spans="1:2">
      <c r="A1132">
        <v>14746012</v>
      </c>
      <c r="B1132" t="s">
        <v>1227</v>
      </c>
    </row>
    <row r="1133" spans="1:2">
      <c r="A1133">
        <v>13415975</v>
      </c>
      <c r="B1133" t="s">
        <v>1228</v>
      </c>
    </row>
    <row r="1134" spans="1:2">
      <c r="A1134">
        <v>13890571</v>
      </c>
      <c r="B1134" t="s">
        <v>1229</v>
      </c>
    </row>
    <row r="1135" spans="1:2">
      <c r="A1135">
        <v>14980926</v>
      </c>
      <c r="B1135" t="s">
        <v>1230</v>
      </c>
    </row>
    <row r="1136" spans="1:2">
      <c r="A1136">
        <v>14655881</v>
      </c>
      <c r="B1136" t="s">
        <v>1231</v>
      </c>
    </row>
    <row r="1137" spans="1:2">
      <c r="A1137">
        <v>12017934</v>
      </c>
      <c r="B1137" t="s">
        <v>1232</v>
      </c>
    </row>
    <row r="1138" spans="1:2">
      <c r="A1138">
        <v>11139862</v>
      </c>
      <c r="B1138" t="s">
        <v>1233</v>
      </c>
    </row>
    <row r="1139" spans="1:2">
      <c r="A1139">
        <v>13031980</v>
      </c>
      <c r="B1139" t="s">
        <v>1234</v>
      </c>
    </row>
    <row r="1140" spans="1:2">
      <c r="A1140">
        <v>13880440</v>
      </c>
      <c r="B1140" t="s">
        <v>1235</v>
      </c>
    </row>
    <row r="1141" spans="1:2">
      <c r="A1141">
        <v>11538613</v>
      </c>
      <c r="B1141" t="s">
        <v>1236</v>
      </c>
    </row>
    <row r="1142" spans="1:2">
      <c r="A1142">
        <v>13962006</v>
      </c>
      <c r="B1142" t="s">
        <v>1237</v>
      </c>
    </row>
    <row r="1143" spans="1:2">
      <c r="A1143">
        <v>12631728</v>
      </c>
      <c r="B1143" t="s">
        <v>1238</v>
      </c>
    </row>
    <row r="1144" spans="1:2">
      <c r="A1144">
        <v>12888496</v>
      </c>
      <c r="B1144" t="s">
        <v>1239</v>
      </c>
    </row>
    <row r="1145" spans="1:2">
      <c r="A1145">
        <v>239107</v>
      </c>
      <c r="B1145" t="s">
        <v>1240</v>
      </c>
    </row>
    <row r="1146" spans="1:2">
      <c r="A1146">
        <v>14471135</v>
      </c>
      <c r="B1146" t="s">
        <v>1241</v>
      </c>
    </row>
    <row r="1147" spans="1:2">
      <c r="A1147">
        <v>12497133</v>
      </c>
      <c r="B1147" t="s">
        <v>1242</v>
      </c>
    </row>
    <row r="1148" spans="1:2">
      <c r="A1148">
        <v>14066686</v>
      </c>
      <c r="B1148" t="s">
        <v>1243</v>
      </c>
    </row>
    <row r="1149" spans="1:2">
      <c r="A1149">
        <v>12555927</v>
      </c>
      <c r="B1149" t="s">
        <v>1244</v>
      </c>
    </row>
    <row r="1150" spans="1:2">
      <c r="A1150">
        <v>13813037</v>
      </c>
      <c r="B1150" t="s">
        <v>1245</v>
      </c>
    </row>
    <row r="1151" spans="1:2">
      <c r="A1151">
        <v>13887301</v>
      </c>
      <c r="B1151" t="s">
        <v>1246</v>
      </c>
    </row>
    <row r="1152" spans="1:2">
      <c r="A1152">
        <v>11907149</v>
      </c>
      <c r="B1152" t="s">
        <v>1247</v>
      </c>
    </row>
    <row r="1153" spans="1:2">
      <c r="A1153">
        <v>147184</v>
      </c>
      <c r="B1153" t="s">
        <v>1248</v>
      </c>
    </row>
    <row r="1154" spans="1:2">
      <c r="A1154">
        <v>12995565</v>
      </c>
      <c r="B1154" t="s">
        <v>1249</v>
      </c>
    </row>
    <row r="1155" spans="1:2">
      <c r="A1155">
        <v>13591386</v>
      </c>
      <c r="B1155" t="s">
        <v>1250</v>
      </c>
    </row>
    <row r="1156" spans="1:2">
      <c r="A1156">
        <v>12937708</v>
      </c>
      <c r="B1156" t="s">
        <v>1251</v>
      </c>
    </row>
    <row r="1157" spans="1:2">
      <c r="A1157">
        <v>13255408</v>
      </c>
      <c r="B1157" t="s">
        <v>1252</v>
      </c>
    </row>
    <row r="1158" spans="1:2">
      <c r="A1158">
        <v>14294283</v>
      </c>
      <c r="B1158" t="s">
        <v>1253</v>
      </c>
    </row>
    <row r="1159" spans="1:2">
      <c r="A1159">
        <v>12936027</v>
      </c>
      <c r="B1159" t="s">
        <v>1254</v>
      </c>
    </row>
    <row r="1160" spans="1:2">
      <c r="A1160">
        <v>13835514</v>
      </c>
      <c r="B1160" t="s">
        <v>1255</v>
      </c>
    </row>
    <row r="1161" spans="1:2">
      <c r="A1161">
        <v>12341918</v>
      </c>
      <c r="B1161" t="s">
        <v>1256</v>
      </c>
    </row>
    <row r="1162" spans="1:2">
      <c r="A1162">
        <v>11162200</v>
      </c>
      <c r="B1162" t="s">
        <v>1257</v>
      </c>
    </row>
    <row r="1163" spans="1:2">
      <c r="A1163">
        <v>14751683</v>
      </c>
      <c r="B1163" t="s">
        <v>1258</v>
      </c>
    </row>
    <row r="1164" spans="1:2">
      <c r="A1164">
        <v>13859701</v>
      </c>
      <c r="B1164" t="s">
        <v>1259</v>
      </c>
    </row>
    <row r="1165" spans="1:2">
      <c r="A1165">
        <v>12053983</v>
      </c>
      <c r="B1165" t="s">
        <v>1260</v>
      </c>
    </row>
    <row r="1166" spans="1:2">
      <c r="A1166">
        <v>14151071</v>
      </c>
      <c r="B1166" t="s">
        <v>1261</v>
      </c>
    </row>
    <row r="1167" spans="1:2">
      <c r="A1167">
        <v>14484800</v>
      </c>
      <c r="B1167" t="s">
        <v>1262</v>
      </c>
    </row>
    <row r="1168" spans="1:2">
      <c r="A1168">
        <v>11261781</v>
      </c>
      <c r="B1168" t="s">
        <v>1263</v>
      </c>
    </row>
    <row r="1169" spans="1:2">
      <c r="A1169">
        <v>12078216</v>
      </c>
      <c r="B1169" t="s">
        <v>1264</v>
      </c>
    </row>
    <row r="1170" spans="1:2">
      <c r="A1170">
        <v>12261211</v>
      </c>
      <c r="B1170" t="s">
        <v>1265</v>
      </c>
    </row>
    <row r="1171" spans="1:2">
      <c r="A1171">
        <v>11426830</v>
      </c>
      <c r="B1171" t="s">
        <v>1266</v>
      </c>
    </row>
    <row r="1172" spans="1:2">
      <c r="A1172">
        <v>12558693</v>
      </c>
      <c r="B1172" t="s">
        <v>1267</v>
      </c>
    </row>
    <row r="1173" spans="1:2">
      <c r="A1173">
        <v>11668279</v>
      </c>
      <c r="B1173" t="s">
        <v>1268</v>
      </c>
    </row>
    <row r="1174" spans="1:2">
      <c r="A1174">
        <v>11787684</v>
      </c>
      <c r="B1174" t="s">
        <v>1269</v>
      </c>
    </row>
    <row r="1175" spans="1:2">
      <c r="A1175">
        <v>14495090</v>
      </c>
      <c r="B1175" t="s">
        <v>1270</v>
      </c>
    </row>
    <row r="1176" spans="1:2">
      <c r="A1176">
        <v>13730096</v>
      </c>
      <c r="B1176" t="s">
        <v>1271</v>
      </c>
    </row>
    <row r="1177" spans="1:2">
      <c r="A1177">
        <v>13444236</v>
      </c>
      <c r="B1177" t="s">
        <v>1272</v>
      </c>
    </row>
    <row r="1178" spans="1:2">
      <c r="A1178">
        <v>13841116</v>
      </c>
      <c r="B1178" t="s">
        <v>1273</v>
      </c>
    </row>
    <row r="1179" spans="1:2">
      <c r="A1179">
        <v>13477618</v>
      </c>
      <c r="B1179" t="s">
        <v>1274</v>
      </c>
    </row>
    <row r="1180" spans="1:2">
      <c r="A1180">
        <v>11811805</v>
      </c>
      <c r="B1180" t="s">
        <v>1275</v>
      </c>
    </row>
    <row r="1181" spans="1:2">
      <c r="A1181">
        <v>13243204</v>
      </c>
      <c r="B1181" t="s">
        <v>1276</v>
      </c>
    </row>
    <row r="1182" spans="1:2">
      <c r="A1182">
        <v>11803119</v>
      </c>
      <c r="B1182" t="s">
        <v>1277</v>
      </c>
    </row>
    <row r="1183" spans="1:2">
      <c r="A1183">
        <v>14481795</v>
      </c>
      <c r="B1183" t="s">
        <v>1278</v>
      </c>
    </row>
    <row r="1184" spans="1:2">
      <c r="A1184">
        <v>13499971</v>
      </c>
      <c r="B1184" t="s">
        <v>1279</v>
      </c>
    </row>
    <row r="1185" spans="1:2">
      <c r="A1185">
        <v>12754807</v>
      </c>
      <c r="B1185" t="s">
        <v>1280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1281</v>
      </c>
    </row>
    <row r="1188" spans="1:2">
      <c r="A1188">
        <v>14471135</v>
      </c>
      <c r="B1188" t="s">
        <v>1241</v>
      </c>
    </row>
    <row r="1189" spans="1:2">
      <c r="A1189">
        <v>253291</v>
      </c>
      <c r="B1189" t="s">
        <v>1282</v>
      </c>
    </row>
    <row r="1190" spans="1:2">
      <c r="A1190">
        <v>13453448</v>
      </c>
      <c r="B1190" t="s">
        <v>1283</v>
      </c>
    </row>
    <row r="1191" spans="1:2">
      <c r="A1191">
        <v>15180694</v>
      </c>
      <c r="B1191" t="s">
        <v>1284</v>
      </c>
    </row>
    <row r="1192" spans="1:2">
      <c r="A1192">
        <v>13155685</v>
      </c>
      <c r="B1192" t="s">
        <v>1285</v>
      </c>
    </row>
    <row r="1193" spans="1:2">
      <c r="A1193">
        <v>12722632</v>
      </c>
      <c r="B1193" t="s">
        <v>1286</v>
      </c>
    </row>
    <row r="1194" spans="1:2">
      <c r="A1194">
        <v>14880267</v>
      </c>
      <c r="B1194" t="s">
        <v>1287</v>
      </c>
    </row>
    <row r="1195" spans="1:2">
      <c r="A1195">
        <v>11904717</v>
      </c>
      <c r="B1195" t="s">
        <v>1288</v>
      </c>
    </row>
    <row r="1196" spans="1:2">
      <c r="A1196">
        <v>15357756</v>
      </c>
      <c r="B1196" t="s">
        <v>1289</v>
      </c>
    </row>
    <row r="1197" spans="1:2">
      <c r="A1197">
        <v>12943583</v>
      </c>
      <c r="B1197" t="s">
        <v>1290</v>
      </c>
    </row>
    <row r="1198" spans="1:2">
      <c r="A1198">
        <v>11540257</v>
      </c>
      <c r="B1198" t="s">
        <v>1291</v>
      </c>
    </row>
    <row r="1199" spans="1:2">
      <c r="A1199">
        <v>14849078</v>
      </c>
      <c r="B1199" t="s">
        <v>1292</v>
      </c>
    </row>
    <row r="1200" spans="1:2">
      <c r="A1200">
        <v>15395386</v>
      </c>
      <c r="B1200" t="s">
        <v>1293</v>
      </c>
    </row>
    <row r="1201" spans="1:2">
      <c r="A1201">
        <v>13271008</v>
      </c>
      <c r="B1201" t="s">
        <v>1295</v>
      </c>
    </row>
    <row r="1202" spans="1:2">
      <c r="A1202">
        <v>12966128</v>
      </c>
      <c r="B1202" t="s">
        <v>1296</v>
      </c>
    </row>
    <row r="1203" spans="1:2">
      <c r="A1203">
        <v>14756417</v>
      </c>
      <c r="B1203" t="s">
        <v>1297</v>
      </c>
    </row>
    <row r="1204" spans="1:2">
      <c r="A1204">
        <v>11527686</v>
      </c>
      <c r="B1204" t="s">
        <v>1298</v>
      </c>
    </row>
    <row r="1205" spans="1:2">
      <c r="A1205">
        <v>14798080</v>
      </c>
      <c r="B1205" t="s">
        <v>1299</v>
      </c>
    </row>
    <row r="1206" spans="1:2">
      <c r="A1206">
        <v>13164704</v>
      </c>
      <c r="B1206" t="s">
        <v>1300</v>
      </c>
    </row>
    <row r="1207" spans="1:2">
      <c r="A1207">
        <v>13789851</v>
      </c>
      <c r="B1207" t="s">
        <v>1301</v>
      </c>
    </row>
    <row r="1208" spans="1:2">
      <c r="A1208">
        <v>14510349</v>
      </c>
      <c r="B1208" t="s">
        <v>1302</v>
      </c>
    </row>
    <row r="1209" spans="1:2">
      <c r="A1209">
        <v>336135</v>
      </c>
      <c r="B1209" t="s">
        <v>1303</v>
      </c>
    </row>
    <row r="1210" spans="1:2">
      <c r="A1210">
        <v>12940378</v>
      </c>
      <c r="B1210" t="s">
        <v>1304</v>
      </c>
    </row>
    <row r="1211" spans="1:2">
      <c r="A1211">
        <v>14217825</v>
      </c>
      <c r="B1211" t="s">
        <v>1305</v>
      </c>
    </row>
    <row r="1212" spans="1:2">
      <c r="A1212">
        <v>13357498</v>
      </c>
      <c r="B1212" t="s">
        <v>1306</v>
      </c>
    </row>
    <row r="1213" spans="1:2">
      <c r="A1213">
        <v>13627348</v>
      </c>
      <c r="B1213" t="s">
        <v>1307</v>
      </c>
    </row>
    <row r="1214" spans="1:2">
      <c r="A1214">
        <v>11530509</v>
      </c>
      <c r="B1214" t="s">
        <v>1308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1303</v>
      </c>
    </row>
    <row r="1217" spans="1:2">
      <c r="A1217">
        <v>12526203</v>
      </c>
      <c r="B1217" t="s">
        <v>1311</v>
      </c>
    </row>
    <row r="1218" spans="1:2">
      <c r="A1218">
        <v>12261587</v>
      </c>
      <c r="B1218" t="s">
        <v>1312</v>
      </c>
    </row>
    <row r="1219" spans="1:2">
      <c r="A1219">
        <v>15382726</v>
      </c>
      <c r="B1219" t="s">
        <v>1313</v>
      </c>
    </row>
    <row r="1220" spans="1:2">
      <c r="A1220">
        <v>13559024</v>
      </c>
      <c r="B1220" t="s">
        <v>1314</v>
      </c>
    </row>
    <row r="1221" spans="1:2">
      <c r="A1221">
        <v>13522333</v>
      </c>
      <c r="B1221" t="s">
        <v>1315</v>
      </c>
    </row>
    <row r="1222" spans="1:2">
      <c r="A1222">
        <v>247815</v>
      </c>
      <c r="B1222" t="s">
        <v>1316</v>
      </c>
    </row>
    <row r="1223" spans="1:2">
      <c r="A1223">
        <v>12931193</v>
      </c>
      <c r="B1223" t="s">
        <v>1317</v>
      </c>
    </row>
    <row r="1224" spans="1:2">
      <c r="A1224">
        <v>14776753</v>
      </c>
      <c r="B1224" t="s">
        <v>1318</v>
      </c>
    </row>
    <row r="1225" spans="1:2">
      <c r="A1225">
        <v>11109326</v>
      </c>
      <c r="B1225" t="s">
        <v>1319</v>
      </c>
    </row>
    <row r="1226" spans="1:2">
      <c r="A1226">
        <v>14040091</v>
      </c>
      <c r="B1226" t="s">
        <v>1320</v>
      </c>
    </row>
    <row r="1227" spans="1:2">
      <c r="A1227">
        <v>11374906</v>
      </c>
      <c r="B1227" t="s">
        <v>1321</v>
      </c>
    </row>
    <row r="1228" spans="1:2">
      <c r="A1228">
        <v>13373701</v>
      </c>
      <c r="B1228" t="s">
        <v>1322</v>
      </c>
    </row>
    <row r="1229" spans="1:2">
      <c r="A1229">
        <v>13059154</v>
      </c>
      <c r="B1229" t="s">
        <v>1323</v>
      </c>
    </row>
    <row r="1230" spans="1:2">
      <c r="A1230">
        <v>13415706</v>
      </c>
      <c r="B1230" t="s">
        <v>1324</v>
      </c>
    </row>
    <row r="1231" spans="1:2">
      <c r="A1231">
        <v>12107512</v>
      </c>
      <c r="B1231" t="s">
        <v>1325</v>
      </c>
    </row>
    <row r="1232" spans="1:2">
      <c r="A1232">
        <v>13909498</v>
      </c>
      <c r="B1232" t="s">
        <v>1326</v>
      </c>
    </row>
    <row r="1233" spans="1:2">
      <c r="A1233">
        <v>11990911</v>
      </c>
      <c r="B1233" t="s">
        <v>1327</v>
      </c>
    </row>
    <row r="1234" spans="1:2">
      <c r="A1234">
        <v>62921</v>
      </c>
      <c r="B1234" t="s">
        <v>1328</v>
      </c>
    </row>
    <row r="1235" spans="1:2">
      <c r="A1235">
        <v>11347960</v>
      </c>
      <c r="B1235" t="s">
        <v>1329</v>
      </c>
    </row>
    <row r="1236" spans="1:2">
      <c r="A1236">
        <v>11258486</v>
      </c>
      <c r="B1236" t="s">
        <v>1330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1FDC5-A022-4976-AE9E-F1F9791D38F8}">
  <sheetPr codeName="Sheet7"/>
  <dimension ref="A1:A17"/>
  <sheetViews>
    <sheetView workbookViewId="0">
      <selection activeCell="M19" sqref="M19"/>
    </sheetView>
  </sheetViews>
  <sheetFormatPr defaultRowHeight="15"/>
  <sheetData>
    <row r="1" spans="1:1">
      <c r="A1" s="53" t="s">
        <v>1151</v>
      </c>
    </row>
    <row r="2" spans="1:1">
      <c r="A2" s="54" t="s">
        <v>1152</v>
      </c>
    </row>
    <row r="3" spans="1:1">
      <c r="A3" s="54" t="s">
        <v>1153</v>
      </c>
    </row>
    <row r="4" spans="1:1">
      <c r="A4" s="54" t="s">
        <v>1154</v>
      </c>
    </row>
    <row r="5" spans="1:1">
      <c r="A5" s="53" t="s">
        <v>1155</v>
      </c>
    </row>
    <row r="6" spans="1:1">
      <c r="A6" s="54" t="s">
        <v>1156</v>
      </c>
    </row>
    <row r="7" spans="1:1">
      <c r="A7" s="54" t="s">
        <v>1157</v>
      </c>
    </row>
    <row r="8" spans="1:1">
      <c r="A8" s="54" t="s">
        <v>1158</v>
      </c>
    </row>
    <row r="9" spans="1:1">
      <c r="A9" s="53" t="s">
        <v>1159</v>
      </c>
    </row>
    <row r="10" spans="1:1">
      <c r="A10" s="55" t="s">
        <v>1160</v>
      </c>
    </row>
    <row r="11" spans="1:1">
      <c r="A11" s="54" t="s">
        <v>1161</v>
      </c>
    </row>
    <row r="12" spans="1:1">
      <c r="A12" s="54" t="s">
        <v>1162</v>
      </c>
    </row>
    <row r="13" spans="1:1">
      <c r="A13" s="54" t="s">
        <v>1163</v>
      </c>
    </row>
    <row r="14" spans="1:1">
      <c r="A14" s="54" t="s">
        <v>1164</v>
      </c>
    </row>
    <row r="15" spans="1:1">
      <c r="A15" s="54" t="s">
        <v>1165</v>
      </c>
    </row>
    <row r="16" spans="1:1">
      <c r="A16" s="54" t="s">
        <v>1166</v>
      </c>
    </row>
    <row r="17" spans="1:1">
      <c r="A17" s="54" t="s">
        <v>1167</v>
      </c>
    </row>
  </sheetData>
  <hyperlinks>
    <hyperlink ref="A10" r:id="rId1" display="https://fclm-portal.amazon.com/employee/employeeRoster?&amp;warehouseId=HDC3" xr:uid="{B732574F-1B07-4653-942D-4DCA3B048BB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zoomScale="70" zoomScaleNormal="70" workbookViewId="0"/>
  </sheetViews>
  <sheetFormatPr defaultRowHeight="15"/>
  <cols>
    <col min="1" max="1" width="1.7109375" customWidth="1"/>
    <col min="2" max="2" width="22.5703125" style="78" customWidth="1"/>
    <col min="3" max="3" width="29.28515625" style="78" customWidth="1"/>
    <col min="4" max="4" width="23.710937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5" t="s">
        <v>1340</v>
      </c>
      <c r="C1" s="66" t="s">
        <v>1341</v>
      </c>
      <c r="D1" s="66" t="s">
        <v>1342</v>
      </c>
      <c r="F1" s="67" t="s">
        <v>1343</v>
      </c>
      <c r="G1" s="67" t="s">
        <v>1344</v>
      </c>
      <c r="H1" s="67" t="s">
        <v>1345</v>
      </c>
      <c r="I1" s="67"/>
      <c r="J1" s="67" t="s">
        <v>1343</v>
      </c>
      <c r="K1" s="67" t="s">
        <v>1331</v>
      </c>
      <c r="L1" s="67" t="s">
        <v>1345</v>
      </c>
      <c r="M1" s="67"/>
      <c r="N1" s="67" t="s">
        <v>1343</v>
      </c>
      <c r="O1" s="67" t="s">
        <v>1346</v>
      </c>
      <c r="P1" s="67" t="s">
        <v>1345</v>
      </c>
    </row>
    <row r="2" spans="2:19" ht="15.75" thickBot="1">
      <c r="B2" s="68"/>
      <c r="C2" s="69" t="str">
        <f>IFERROR(VLOOKUP(B2,Roster!$A$2:$B$5000,2,FALSE),"-")</f>
        <v>-</v>
      </c>
      <c r="D2" s="69"/>
      <c r="F2" s="70">
        <f>COUNTIF(DOCK!A2,"&lt;&gt;"&amp;"")</f>
        <v>0</v>
      </c>
      <c r="G2" s="71" t="s">
        <v>1050</v>
      </c>
      <c r="H2" s="70">
        <f>COUNTIF($D:$D,G2)</f>
        <v>0</v>
      </c>
      <c r="I2" s="67"/>
      <c r="J2" s="70">
        <f>COUNTIF(PIT!A2:A100,"&lt;&gt;"&amp;"")</f>
        <v>0</v>
      </c>
      <c r="K2" s="72" t="s">
        <v>1040</v>
      </c>
      <c r="L2" s="70">
        <f>COUNTIF($D:$D,K2)</f>
        <v>0</v>
      </c>
      <c r="M2" s="67"/>
      <c r="N2" s="70">
        <f>COUNTIF(PS_ICQA_Learning!A3:A12,"&lt;&gt;"&amp;"")</f>
        <v>0</v>
      </c>
      <c r="O2" s="71" t="s">
        <v>1068</v>
      </c>
      <c r="P2" s="70">
        <f>COUNTIF($D:$D,O2)</f>
        <v>0</v>
      </c>
      <c r="R2" s="100" t="s">
        <v>1347</v>
      </c>
      <c r="S2" s="101"/>
    </row>
    <row r="3" spans="2:19" ht="15.75" thickBot="1">
      <c r="B3" s="68"/>
      <c r="C3" s="69" t="str">
        <f>IFERROR(VLOOKUP(B3,Roster!$A$2:$B$5000,2,FALSE),"-")</f>
        <v>-</v>
      </c>
      <c r="D3" s="69"/>
      <c r="F3" s="69">
        <f>COUNTIF(DOCK!A3:A4,"&lt;&gt;"&amp;"")</f>
        <v>0</v>
      </c>
      <c r="G3" s="73" t="s">
        <v>1170</v>
      </c>
      <c r="H3" s="70">
        <f t="shared" ref="H3:H29" si="0">COUNTIF($D:$D,G3)</f>
        <v>0</v>
      </c>
      <c r="I3" s="67"/>
      <c r="J3" s="69">
        <f>COUNTIF(PIT!E2:E5,"&lt;&gt;"&amp;"")</f>
        <v>0</v>
      </c>
      <c r="K3" s="74" t="s">
        <v>1042</v>
      </c>
      <c r="L3" s="70">
        <f t="shared" ref="L3:L29" si="1">COUNTIF($D:$D,K3)</f>
        <v>0</v>
      </c>
      <c r="M3" s="67"/>
      <c r="N3" s="69">
        <f>COUNTIF(PS_ICQA_Learning!A13:A22,"&lt;&gt;"&amp;"")</f>
        <v>0</v>
      </c>
      <c r="O3" s="73" t="s">
        <v>1069</v>
      </c>
      <c r="P3" s="70">
        <f t="shared" ref="P3:P29" si="2">COUNTIF($D:$D,O3)</f>
        <v>0</v>
      </c>
      <c r="R3" s="102">
        <f>SUM(F30,J30,N30)</f>
        <v>0</v>
      </c>
      <c r="S3" s="103"/>
    </row>
    <row r="4" spans="2:19" ht="15.75" thickBot="1">
      <c r="B4" s="68"/>
      <c r="C4" s="69" t="str">
        <f>IFERROR(VLOOKUP(B4,Roster!$A$2:$B$5000,2,FALSE),"-")</f>
        <v>-</v>
      </c>
      <c r="D4" s="69"/>
      <c r="F4" s="69">
        <f>COUNTIF(DOCK!A5,"&lt;&gt;"&amp;"")</f>
        <v>0</v>
      </c>
      <c r="G4" s="73" t="s">
        <v>1051</v>
      </c>
      <c r="H4" s="70">
        <f t="shared" si="0"/>
        <v>0</v>
      </c>
      <c r="I4" s="67"/>
      <c r="J4" s="69">
        <f>COUNTIF(PIT!E8:E10,"&lt;&gt;"&amp;"")</f>
        <v>0</v>
      </c>
      <c r="K4" s="74" t="s">
        <v>1043</v>
      </c>
      <c r="L4" s="70">
        <f t="shared" si="1"/>
        <v>0</v>
      </c>
      <c r="M4" s="67"/>
      <c r="N4" s="69">
        <f>COUNTIF(PS_ICQA_Learning!A23:A32,"&lt;&gt;"&amp;"")</f>
        <v>0</v>
      </c>
      <c r="O4" s="73" t="s">
        <v>1070</v>
      </c>
      <c r="P4" s="70">
        <f t="shared" si="2"/>
        <v>0</v>
      </c>
      <c r="R4" s="100" t="s">
        <v>1348</v>
      </c>
      <c r="S4" s="101"/>
    </row>
    <row r="5" spans="2:19" ht="15.75" thickBot="1">
      <c r="B5" s="68"/>
      <c r="C5" s="69" t="str">
        <f>IFERROR(VLOOKUP(B5,Roster!$A$2:$B$5000,2,FALSE),"-")</f>
        <v>-</v>
      </c>
      <c r="D5" s="69"/>
      <c r="F5" s="70">
        <f>COUNTIF(DOCK!A5,"&lt;&gt;"&amp;"")</f>
        <v>0</v>
      </c>
      <c r="G5" s="73" t="s">
        <v>1171</v>
      </c>
      <c r="H5" s="70">
        <f t="shared" si="0"/>
        <v>0</v>
      </c>
      <c r="I5" s="67"/>
      <c r="J5" s="69">
        <f>COUNTIF(PIT!E11:E12,"&lt;&gt;"&amp;"")</f>
        <v>0</v>
      </c>
      <c r="K5" s="74" t="s">
        <v>1332</v>
      </c>
      <c r="L5" s="70">
        <f t="shared" si="1"/>
        <v>0</v>
      </c>
      <c r="M5" s="67"/>
      <c r="N5" s="69">
        <f>COUNTIF(PS_ICQA_Learning!A33:A42,"&lt;&gt;"&amp;"")</f>
        <v>0</v>
      </c>
      <c r="O5" s="73" t="s">
        <v>1071</v>
      </c>
      <c r="P5" s="70">
        <f t="shared" si="2"/>
        <v>0</v>
      </c>
      <c r="R5" s="102">
        <f>COUNTIF(B2:B1000,"&lt;&gt;"&amp;"")</f>
        <v>0</v>
      </c>
      <c r="S5" s="103"/>
    </row>
    <row r="6" spans="2:19" ht="15.75" thickBot="1">
      <c r="B6" s="68"/>
      <c r="C6" s="69" t="str">
        <f>IFERROR(VLOOKUP(B6,Roster!$A$2:$B$5000,2,FALSE),"-")</f>
        <v>-</v>
      </c>
      <c r="D6" s="69"/>
      <c r="F6" s="69">
        <f>COUNTIF(DOCK!A6:A7,"&lt;&gt;"&amp;"")</f>
        <v>0</v>
      </c>
      <c r="G6" s="73" t="s">
        <v>1172</v>
      </c>
      <c r="H6" s="70">
        <f t="shared" si="0"/>
        <v>0</v>
      </c>
      <c r="I6" s="67"/>
      <c r="J6" s="69">
        <f>COUNTIF(PIT!E15:E19,"&lt;&gt;"&amp;"")</f>
        <v>0</v>
      </c>
      <c r="K6" s="74" t="s">
        <v>1044</v>
      </c>
      <c r="L6" s="70">
        <f t="shared" si="1"/>
        <v>0</v>
      </c>
      <c r="M6" s="67"/>
      <c r="N6" s="69">
        <f>COUNTIF(PS_ICQA_Learning!E4:E8,"&lt;&gt;"&amp;"")</f>
        <v>0</v>
      </c>
      <c r="O6" s="73" t="s">
        <v>1081</v>
      </c>
      <c r="P6" s="70">
        <f t="shared" si="2"/>
        <v>0</v>
      </c>
    </row>
    <row r="7" spans="2:19" ht="15.75" thickBot="1">
      <c r="B7" s="68"/>
      <c r="C7" s="69" t="str">
        <f>IFERROR(VLOOKUP(B7,Roster!$A$2:$B$5000,2,FALSE),"-")</f>
        <v>-</v>
      </c>
      <c r="D7" s="69"/>
      <c r="F7" s="69">
        <f>COUNTIF(DOCK!A8,"&lt;&gt;"&amp;"")</f>
        <v>0</v>
      </c>
      <c r="G7" s="73" t="s">
        <v>1173</v>
      </c>
      <c r="H7" s="70">
        <f t="shared" si="0"/>
        <v>0</v>
      </c>
      <c r="I7" s="67"/>
      <c r="J7" s="69">
        <f>COUNTIF(PIT!I2:I7,"&lt;&gt;"&amp;"")</f>
        <v>0</v>
      </c>
      <c r="K7" s="74" t="s">
        <v>1045</v>
      </c>
      <c r="L7" s="70">
        <f t="shared" si="1"/>
        <v>0</v>
      </c>
      <c r="M7" s="67"/>
      <c r="N7" s="69">
        <f>COUNTIF(PS_ICQA_Learning!E9:E13,"&lt;&gt;"&amp;"")</f>
        <v>0</v>
      </c>
      <c r="O7" s="73" t="s">
        <v>1076</v>
      </c>
      <c r="P7" s="70">
        <f t="shared" si="2"/>
        <v>0</v>
      </c>
    </row>
    <row r="8" spans="2:19" ht="15.75" thickBot="1">
      <c r="B8" s="68"/>
      <c r="C8" s="69" t="str">
        <f>IFERROR(VLOOKUP(B8,Roster!$A$2:$B$5000,2,FALSE),"-")</f>
        <v>-</v>
      </c>
      <c r="D8" s="69"/>
      <c r="F8" s="70">
        <f>COUNTIF(DOCK!A8,"&lt;&gt;"&amp;"")</f>
        <v>0</v>
      </c>
      <c r="G8" s="73" t="s">
        <v>1052</v>
      </c>
      <c r="H8" s="70">
        <f t="shared" si="0"/>
        <v>0</v>
      </c>
      <c r="I8" s="67"/>
      <c r="J8" s="69">
        <f>COUNTIF(PIT!I10:I15,"&lt;&gt;"&amp;"")</f>
        <v>0</v>
      </c>
      <c r="K8" s="74" t="s">
        <v>1046</v>
      </c>
      <c r="L8" s="70">
        <f t="shared" si="1"/>
        <v>0</v>
      </c>
      <c r="M8" s="67"/>
      <c r="N8" s="69">
        <f>COUNTIF(PS_ICQA_Learning!E14:E18,"&lt;&gt;"&amp;"")</f>
        <v>0</v>
      </c>
      <c r="O8" s="73" t="s">
        <v>1077</v>
      </c>
      <c r="P8" s="70">
        <f t="shared" si="2"/>
        <v>0</v>
      </c>
    </row>
    <row r="9" spans="2:19" ht="15.75" thickBot="1">
      <c r="B9" s="68"/>
      <c r="C9" s="69" t="str">
        <f>IFERROR(VLOOKUP(B9,Roster!$A$2:$B$5000,2,FALSE),"-")</f>
        <v>-</v>
      </c>
      <c r="D9" s="69"/>
      <c r="F9" s="69">
        <f>COUNTIF(DOCK!A9:A10,"&lt;&gt;"&amp;"")</f>
        <v>0</v>
      </c>
      <c r="G9" s="73" t="s">
        <v>1053</v>
      </c>
      <c r="H9" s="70">
        <f t="shared" si="0"/>
        <v>0</v>
      </c>
      <c r="I9" s="67"/>
      <c r="J9" s="69">
        <f>COUNTIF(PIT!I18:I23,"&lt;&gt;"&amp;"")</f>
        <v>0</v>
      </c>
      <c r="K9" s="74" t="s">
        <v>1047</v>
      </c>
      <c r="L9" s="70">
        <f t="shared" si="1"/>
        <v>0</v>
      </c>
      <c r="M9" s="67"/>
      <c r="N9" s="69">
        <f>COUNTIF(PS_ICQA_Learning!I19:I23,"&lt;&gt;"&amp;"")</f>
        <v>0</v>
      </c>
      <c r="O9" s="73" t="s">
        <v>1078</v>
      </c>
      <c r="P9" s="70">
        <f t="shared" si="2"/>
        <v>0</v>
      </c>
    </row>
    <row r="10" spans="2:19" ht="15.75" thickBot="1">
      <c r="B10" s="68"/>
      <c r="C10" s="69" t="str">
        <f>IFERROR(VLOOKUP(B10,Roster!$A$2:$B$5000,2,FALSE),"-")</f>
        <v>-</v>
      </c>
      <c r="D10" s="69"/>
      <c r="F10" s="69">
        <f>COUNTIF(DOCK!A11,"&lt;&gt;"&amp;"")</f>
        <v>0</v>
      </c>
      <c r="G10" s="73" t="s">
        <v>1168</v>
      </c>
      <c r="H10" s="70">
        <f t="shared" si="0"/>
        <v>0</v>
      </c>
      <c r="I10" s="67"/>
      <c r="J10" s="69">
        <f>COUNTIF(PIT!M2:M7,"&lt;&gt;"&amp;"")</f>
        <v>0</v>
      </c>
      <c r="K10" s="74" t="s">
        <v>1048</v>
      </c>
      <c r="L10" s="70">
        <f t="shared" si="1"/>
        <v>0</v>
      </c>
      <c r="M10" s="67"/>
      <c r="N10" s="69">
        <f>COUNTIF(PS_ICQA_Learning!E24:E28,"&lt;&gt;"&amp;"")</f>
        <v>0</v>
      </c>
      <c r="O10" s="73" t="s">
        <v>1079</v>
      </c>
      <c r="P10" s="70">
        <f t="shared" si="2"/>
        <v>0</v>
      </c>
    </row>
    <row r="11" spans="2:19" ht="15.75" thickBot="1">
      <c r="B11" s="68"/>
      <c r="C11" s="69" t="str">
        <f>IFERROR(VLOOKUP(B11,Roster!$A$2:$B$5000,2,FALSE),"-")</f>
        <v>-</v>
      </c>
      <c r="D11" s="69"/>
      <c r="F11" s="70">
        <f>COUNTIF(DOCK!A11,"&lt;&gt;"&amp;"")</f>
        <v>0</v>
      </c>
      <c r="G11" s="73" t="s">
        <v>1169</v>
      </c>
      <c r="H11" s="70">
        <f t="shared" si="0"/>
        <v>0</v>
      </c>
      <c r="I11" s="67"/>
      <c r="J11" s="69">
        <f>COUNTIF(PIT!M10:M15,"&lt;&gt;"&amp;"")</f>
        <v>0</v>
      </c>
      <c r="K11" s="74" t="s">
        <v>1049</v>
      </c>
      <c r="L11" s="70">
        <f t="shared" si="1"/>
        <v>0</v>
      </c>
      <c r="M11" s="67"/>
      <c r="N11" s="69">
        <f>COUNTIF(PS_ICQA_Learning!I4:I8,"&lt;&gt;"&amp;"")</f>
        <v>0</v>
      </c>
      <c r="O11" s="73" t="s">
        <v>1081</v>
      </c>
      <c r="P11" s="70">
        <f t="shared" si="2"/>
        <v>0</v>
      </c>
    </row>
    <row r="12" spans="2:19" ht="15.75" thickBot="1">
      <c r="B12" s="68"/>
      <c r="C12" s="69" t="str">
        <f>IFERROR(VLOOKUP(B12,Roster!$A$2:$B$5000,2,FALSE),"-")</f>
        <v>-</v>
      </c>
      <c r="D12" s="69"/>
      <c r="F12" s="69">
        <f>COUNTIF(DOCK!A12:A13,"&lt;&gt;"&amp;"")</f>
        <v>0</v>
      </c>
      <c r="G12" s="73" t="s">
        <v>1175</v>
      </c>
      <c r="H12" s="70">
        <f t="shared" si="0"/>
        <v>0</v>
      </c>
      <c r="I12" s="67"/>
      <c r="J12" s="69">
        <f>COUNTIF(PIT!Q2:Q100,"&lt;&gt;"&amp;"")</f>
        <v>0</v>
      </c>
      <c r="K12" s="74" t="s">
        <v>1041</v>
      </c>
      <c r="L12" s="70">
        <f t="shared" si="1"/>
        <v>0</v>
      </c>
      <c r="M12" s="67"/>
      <c r="N12" s="69">
        <f>COUNTIF(PS_ICQA_Learning!I9:I13,"&lt;&gt;"&amp;"")</f>
        <v>0</v>
      </c>
      <c r="O12" s="73" t="s">
        <v>1082</v>
      </c>
      <c r="P12" s="70">
        <f t="shared" si="2"/>
        <v>0</v>
      </c>
    </row>
    <row r="13" spans="2:19" ht="15.75" thickBot="1">
      <c r="B13" s="68"/>
      <c r="C13" s="69" t="str">
        <f>IFERROR(VLOOKUP(B13,Roster!$A$2:$B$5000,2,FALSE),"-")</f>
        <v>-</v>
      </c>
      <c r="D13" s="69"/>
      <c r="F13" s="69">
        <f>COUNTIF(DOCK!A14,"&lt;&gt;"&amp;"")</f>
        <v>0</v>
      </c>
      <c r="G13" s="73" t="s">
        <v>1309</v>
      </c>
      <c r="H13" s="70">
        <f t="shared" si="0"/>
        <v>0</v>
      </c>
      <c r="I13" s="67"/>
      <c r="J13" s="69"/>
      <c r="K13" s="74"/>
      <c r="L13" s="70">
        <f t="shared" si="1"/>
        <v>0</v>
      </c>
      <c r="M13" s="67"/>
      <c r="N13" s="69">
        <f>COUNTIF(PS_ICQA_Learning!I14:I18,"&lt;&gt;"&amp;"")</f>
        <v>0</v>
      </c>
      <c r="O13" s="73" t="s">
        <v>1083</v>
      </c>
      <c r="P13" s="70">
        <f t="shared" si="2"/>
        <v>0</v>
      </c>
    </row>
    <row r="14" spans="2:19" ht="15.75" thickBot="1">
      <c r="B14" s="68"/>
      <c r="C14" s="69" t="str">
        <f>IFERROR(VLOOKUP(B14,Roster!$A$2:$B$5000,2,FALSE),"-")</f>
        <v>-</v>
      </c>
      <c r="D14" s="69"/>
      <c r="F14" s="70">
        <f>COUNTIF(DOCK!A14,"&lt;&gt;"&amp;"")</f>
        <v>0</v>
      </c>
      <c r="G14" s="73" t="s">
        <v>1310</v>
      </c>
      <c r="H14" s="70">
        <f t="shared" si="0"/>
        <v>0</v>
      </c>
      <c r="I14" s="67"/>
      <c r="J14" s="69"/>
      <c r="K14" s="74"/>
      <c r="L14" s="70">
        <f t="shared" si="1"/>
        <v>0</v>
      </c>
      <c r="M14" s="67"/>
      <c r="N14" s="69">
        <f>COUNTIF(PS_ICQA_Learning!I19:I23,"&lt;&gt;"&amp;"")</f>
        <v>0</v>
      </c>
      <c r="O14" s="73" t="s">
        <v>1084</v>
      </c>
      <c r="P14" s="70">
        <f t="shared" si="2"/>
        <v>0</v>
      </c>
    </row>
    <row r="15" spans="2:19" ht="15.75" thickBot="1">
      <c r="B15" s="68"/>
      <c r="C15" s="69" t="str">
        <f>IFERROR(VLOOKUP(B15,Roster!$A$2:$B$5000,2,FALSE),"-")</f>
        <v>-</v>
      </c>
      <c r="D15" s="69"/>
      <c r="F15" s="69">
        <f>COUNTIF(DOCK!A15:A16,"&lt;&gt;"&amp;"")</f>
        <v>0</v>
      </c>
      <c r="G15" s="73" t="s">
        <v>1054</v>
      </c>
      <c r="H15" s="70">
        <f t="shared" si="0"/>
        <v>0</v>
      </c>
      <c r="I15" s="67"/>
      <c r="J15" s="69"/>
      <c r="K15" s="74"/>
      <c r="L15" s="70">
        <f t="shared" si="1"/>
        <v>0</v>
      </c>
      <c r="M15" s="67"/>
      <c r="N15" s="69">
        <f>COUNTIF(PS_ICQA_Learning!I24:I28,"&lt;&gt;"&amp;"")</f>
        <v>0</v>
      </c>
      <c r="O15" s="73" t="s">
        <v>1085</v>
      </c>
      <c r="P15" s="70">
        <f t="shared" si="2"/>
        <v>0</v>
      </c>
    </row>
    <row r="16" spans="2:19" ht="15.75" thickBot="1">
      <c r="B16" s="68"/>
      <c r="C16" s="69" t="str">
        <f>IFERROR(VLOOKUP(B16,Roster!$A$2:$B$5000,2,FALSE),"-")</f>
        <v>-</v>
      </c>
      <c r="D16" s="69"/>
      <c r="F16" s="69">
        <f>COUNTIF(DOCK!A17,"&lt;&gt;"&amp;"")</f>
        <v>0</v>
      </c>
      <c r="G16" s="73" t="s">
        <v>1055</v>
      </c>
      <c r="H16" s="70">
        <f t="shared" si="0"/>
        <v>0</v>
      </c>
      <c r="I16" s="67"/>
      <c r="J16" s="69"/>
      <c r="K16" s="74"/>
      <c r="L16" s="70">
        <f t="shared" si="1"/>
        <v>0</v>
      </c>
      <c r="M16" s="67"/>
      <c r="N16" s="69">
        <f>COUNTIF(PS_ICQA_Learning!M3:M27,"&lt;&gt;"&amp;"")</f>
        <v>0</v>
      </c>
      <c r="O16" s="73" t="s">
        <v>1086</v>
      </c>
      <c r="P16" s="70">
        <f>COUNTIF($D:$D,O16)</f>
        <v>0</v>
      </c>
    </row>
    <row r="17" spans="2:16" ht="15.75" thickBot="1">
      <c r="B17" s="68"/>
      <c r="C17" s="69" t="str">
        <f>IFERROR(VLOOKUP(B17,Roster!$A$2:$B$5000,2,FALSE),"-")</f>
        <v>-</v>
      </c>
      <c r="D17" s="69"/>
      <c r="F17" s="70">
        <f>COUNTIF(DOCK!A17,"&lt;&gt;"&amp;"")</f>
        <v>0</v>
      </c>
      <c r="G17" s="73" t="s">
        <v>1057</v>
      </c>
      <c r="H17" s="70">
        <f t="shared" si="0"/>
        <v>0</v>
      </c>
      <c r="I17" s="67"/>
      <c r="J17" s="69"/>
      <c r="K17" s="74"/>
      <c r="L17" s="70">
        <f t="shared" si="1"/>
        <v>0</v>
      </c>
      <c r="M17" s="67"/>
      <c r="N17" s="69"/>
      <c r="O17" s="73"/>
      <c r="P17" s="70">
        <f t="shared" si="2"/>
        <v>0</v>
      </c>
    </row>
    <row r="18" spans="2:16" ht="15.75" thickBot="1">
      <c r="B18" s="68"/>
      <c r="C18" s="69" t="str">
        <f>IFERROR(VLOOKUP(B18,Roster!$A$2:$B$5000,2,FALSE),"-")</f>
        <v>-</v>
      </c>
      <c r="D18" s="69"/>
      <c r="F18" s="69">
        <f>COUNTIF(DOCK!A18:A19,"&lt;&gt;"&amp;"")</f>
        <v>0</v>
      </c>
      <c r="G18" s="73" t="s">
        <v>1056</v>
      </c>
      <c r="H18" s="70">
        <f t="shared" si="0"/>
        <v>0</v>
      </c>
      <c r="I18" s="67"/>
      <c r="J18" s="69"/>
      <c r="K18" s="74"/>
      <c r="L18" s="70">
        <f t="shared" si="1"/>
        <v>0</v>
      </c>
      <c r="M18" s="67"/>
      <c r="N18" s="69"/>
      <c r="O18" s="73"/>
      <c r="P18" s="70">
        <f t="shared" si="2"/>
        <v>0</v>
      </c>
    </row>
    <row r="19" spans="2:16" ht="15.75" thickBot="1">
      <c r="B19" s="68"/>
      <c r="C19" s="69" t="str">
        <f>IFERROR(VLOOKUP(B19,Roster!$A$2:$B$5000,2,FALSE),"-")</f>
        <v>-</v>
      </c>
      <c r="D19" s="69"/>
      <c r="F19" s="69">
        <f>COUNTIF(DOCK!A20,"&lt;&gt;"&amp;"")</f>
        <v>0</v>
      </c>
      <c r="G19" s="73" t="s">
        <v>1058</v>
      </c>
      <c r="H19" s="70">
        <f t="shared" si="0"/>
        <v>0</v>
      </c>
      <c r="I19" s="67"/>
      <c r="J19" s="69"/>
      <c r="K19" s="74"/>
      <c r="L19" s="70">
        <f t="shared" si="1"/>
        <v>0</v>
      </c>
      <c r="M19" s="67"/>
      <c r="N19" s="69"/>
      <c r="O19" s="73"/>
      <c r="P19" s="70">
        <f t="shared" si="2"/>
        <v>0</v>
      </c>
    </row>
    <row r="20" spans="2:16" ht="15.75" thickBot="1">
      <c r="B20" s="68"/>
      <c r="C20" s="69" t="str">
        <f>IFERROR(VLOOKUP(B20,Roster!$A$2:$B$5000,2,FALSE),"-")</f>
        <v>-</v>
      </c>
      <c r="D20" s="69"/>
      <c r="F20" s="70">
        <f>COUNTIF(DOCK!A20,"&lt;&gt;"&amp;"")</f>
        <v>0</v>
      </c>
      <c r="G20" s="73" t="s">
        <v>1059</v>
      </c>
      <c r="H20" s="70">
        <f t="shared" si="0"/>
        <v>0</v>
      </c>
      <c r="I20" s="67"/>
      <c r="J20" s="69"/>
      <c r="K20" s="74"/>
      <c r="L20" s="70">
        <f t="shared" si="1"/>
        <v>0</v>
      </c>
      <c r="M20" s="67"/>
      <c r="N20" s="69"/>
      <c r="O20" s="73" t="s">
        <v>1349</v>
      </c>
      <c r="P20" s="70">
        <f t="shared" si="2"/>
        <v>0</v>
      </c>
    </row>
    <row r="21" spans="2:16" ht="15.75" thickBot="1">
      <c r="B21" s="68"/>
      <c r="C21" s="69" t="str">
        <f>IFERROR(VLOOKUP(B21,Roster!$A$2:$B$5000,2,FALSE),"-")</f>
        <v>-</v>
      </c>
      <c r="D21" s="69"/>
      <c r="F21" s="69">
        <f>COUNTIF(DOCK!A21:A22,"&lt;&gt;"&amp;"")</f>
        <v>0</v>
      </c>
      <c r="G21" s="73" t="s">
        <v>1060</v>
      </c>
      <c r="H21" s="70">
        <f t="shared" si="0"/>
        <v>0</v>
      </c>
      <c r="I21" s="67"/>
      <c r="J21" s="69"/>
      <c r="K21" s="74"/>
      <c r="L21" s="70">
        <f t="shared" si="1"/>
        <v>0</v>
      </c>
      <c r="M21" s="67"/>
      <c r="N21" s="69"/>
      <c r="O21" s="73"/>
      <c r="P21" s="70">
        <f t="shared" si="2"/>
        <v>0</v>
      </c>
    </row>
    <row r="22" spans="2:16" ht="15.75" thickBot="1">
      <c r="B22" s="68"/>
      <c r="C22" s="69" t="str">
        <f>IFERROR(VLOOKUP(B22,Roster!$A$2:$B$5000,2,FALSE),"-")</f>
        <v>-</v>
      </c>
      <c r="D22" s="69"/>
      <c r="F22" s="69">
        <f>COUNTIF(DOCK!A23,"&lt;&gt;"&amp;"")</f>
        <v>0</v>
      </c>
      <c r="G22" s="73" t="s">
        <v>1061</v>
      </c>
      <c r="H22" s="70">
        <f t="shared" si="0"/>
        <v>0</v>
      </c>
      <c r="I22" s="67"/>
      <c r="J22" s="69"/>
      <c r="K22" s="74"/>
      <c r="L22" s="70">
        <f t="shared" si="1"/>
        <v>0</v>
      </c>
      <c r="M22" s="67"/>
      <c r="N22" s="69"/>
      <c r="O22" s="73"/>
      <c r="P22" s="70">
        <f t="shared" si="2"/>
        <v>0</v>
      </c>
    </row>
    <row r="23" spans="2:16" ht="15.75" thickBot="1">
      <c r="B23" s="68"/>
      <c r="C23" s="69" t="str">
        <f>IFERROR(VLOOKUP(B23,Roster!$A$2:$B$5000,2,FALSE),"-")</f>
        <v>-</v>
      </c>
      <c r="D23" s="69"/>
      <c r="F23" s="70">
        <f>COUNTIF(DOCK!A23,"&lt;&gt;"&amp;"")</f>
        <v>0</v>
      </c>
      <c r="G23" s="73" t="s">
        <v>1062</v>
      </c>
      <c r="H23" s="70">
        <f t="shared" si="0"/>
        <v>0</v>
      </c>
      <c r="I23" s="67"/>
      <c r="J23" s="69"/>
      <c r="K23" s="74"/>
      <c r="L23" s="70">
        <f t="shared" si="1"/>
        <v>0</v>
      </c>
      <c r="M23" s="67"/>
      <c r="N23" s="69"/>
      <c r="O23" s="73"/>
      <c r="P23" s="70">
        <f t="shared" si="2"/>
        <v>0</v>
      </c>
    </row>
    <row r="24" spans="2:16" ht="15.75" thickBot="1">
      <c r="B24" s="68"/>
      <c r="C24" s="69" t="str">
        <f>IFERROR(VLOOKUP(B24,Roster!$A$2:$B$5000,2,FALSE),"-")</f>
        <v>-</v>
      </c>
      <c r="D24" s="69"/>
      <c r="F24" s="69">
        <f>COUNTIF(DOCK!A24:A25,"&lt;&gt;"&amp;"")</f>
        <v>0</v>
      </c>
      <c r="G24" s="73" t="s">
        <v>1063</v>
      </c>
      <c r="H24" s="70">
        <f t="shared" si="0"/>
        <v>0</v>
      </c>
      <c r="I24" s="67"/>
      <c r="J24" s="69"/>
      <c r="K24" s="74"/>
      <c r="L24" s="70">
        <f t="shared" si="1"/>
        <v>0</v>
      </c>
      <c r="M24" s="67"/>
      <c r="N24" s="69"/>
      <c r="O24" s="73"/>
      <c r="P24" s="70">
        <f t="shared" si="2"/>
        <v>0</v>
      </c>
    </row>
    <row r="25" spans="2:16" ht="15.75" thickBot="1">
      <c r="B25" s="68"/>
      <c r="C25" s="69" t="str">
        <f>IFERROR(VLOOKUP(B25,Roster!$A$2:$B$5000,2,FALSE),"-")</f>
        <v>-</v>
      </c>
      <c r="D25" s="69"/>
      <c r="F25" s="69">
        <f>COUNTIF(DOCK!A26,"&lt;&gt;"&amp;"")</f>
        <v>0</v>
      </c>
      <c r="G25" s="73" t="s">
        <v>1064</v>
      </c>
      <c r="H25" s="70">
        <f t="shared" si="0"/>
        <v>0</v>
      </c>
      <c r="I25" s="67"/>
      <c r="J25" s="69"/>
      <c r="K25" s="74"/>
      <c r="L25" s="70">
        <f t="shared" si="1"/>
        <v>0</v>
      </c>
      <c r="M25" s="67"/>
      <c r="N25" s="69"/>
      <c r="O25" s="73"/>
      <c r="P25" s="70">
        <f t="shared" si="2"/>
        <v>0</v>
      </c>
    </row>
    <row r="26" spans="2:16" ht="15.75" thickBot="1">
      <c r="B26" s="68"/>
      <c r="C26" s="69" t="str">
        <f>IFERROR(VLOOKUP(B26,Roster!$A$2:$B$5000,2,FALSE),"-")</f>
        <v>-</v>
      </c>
      <c r="D26" s="69"/>
      <c r="F26" s="70">
        <f>COUNTIF(DOCK!A26,"&lt;&gt;"&amp;"")</f>
        <v>0</v>
      </c>
      <c r="G26" s="73" t="s">
        <v>1065</v>
      </c>
      <c r="H26" s="70">
        <f t="shared" si="0"/>
        <v>0</v>
      </c>
      <c r="I26" s="67"/>
      <c r="J26" s="69"/>
      <c r="K26" s="74"/>
      <c r="L26" s="70">
        <f t="shared" si="1"/>
        <v>0</v>
      </c>
      <c r="M26" s="67"/>
      <c r="N26" s="69"/>
      <c r="O26" s="73"/>
      <c r="P26" s="70">
        <f t="shared" si="2"/>
        <v>0</v>
      </c>
    </row>
    <row r="27" spans="2:16" ht="15.75" thickBot="1">
      <c r="B27" s="68"/>
      <c r="C27" s="69" t="str">
        <f>IFERROR(VLOOKUP(B27,Roster!$A$2:$B$5000,2,FALSE),"-")</f>
        <v>-</v>
      </c>
      <c r="D27" s="69"/>
      <c r="F27" s="69">
        <f>COUNTIF(DOCK!A27:A28,"&lt;&gt;"&amp;"")</f>
        <v>0</v>
      </c>
      <c r="G27" s="73" t="s">
        <v>1350</v>
      </c>
      <c r="H27" s="70">
        <f t="shared" si="0"/>
        <v>0</v>
      </c>
      <c r="I27" s="67"/>
      <c r="J27" s="69"/>
      <c r="K27" s="74"/>
      <c r="L27" s="70">
        <f t="shared" si="1"/>
        <v>0</v>
      </c>
      <c r="M27" s="67"/>
      <c r="N27" s="69"/>
      <c r="O27" s="73"/>
      <c r="P27" s="70">
        <f t="shared" si="2"/>
        <v>0</v>
      </c>
    </row>
    <row r="28" spans="2:16" ht="15.75" thickBot="1">
      <c r="B28" s="68"/>
      <c r="C28" s="69" t="str">
        <f>IFERROR(VLOOKUP(B28,Roster!$A$2:$B$5000,2,FALSE),"-")</f>
        <v>-</v>
      </c>
      <c r="D28" s="69"/>
      <c r="F28" s="69">
        <f>COUNTIF(DOCK!A29,"&lt;&gt;"&amp;"")</f>
        <v>0</v>
      </c>
      <c r="G28" s="73" t="s">
        <v>1067</v>
      </c>
      <c r="H28" s="70">
        <f t="shared" si="0"/>
        <v>0</v>
      </c>
      <c r="I28" s="67"/>
      <c r="J28" s="69"/>
      <c r="K28" s="74"/>
      <c r="L28" s="70">
        <f t="shared" si="1"/>
        <v>0</v>
      </c>
      <c r="M28" s="67"/>
      <c r="N28" s="69"/>
      <c r="O28" s="73"/>
      <c r="P28" s="70">
        <f t="shared" si="2"/>
        <v>0</v>
      </c>
    </row>
    <row r="29" spans="2:16" ht="15.75" thickBot="1">
      <c r="B29" s="68"/>
      <c r="C29" s="69" t="str">
        <f>IFERROR(VLOOKUP(B29,Roster!$A$2:$B$5000,2,FALSE),"-")</f>
        <v>-</v>
      </c>
      <c r="D29" s="69"/>
      <c r="F29" s="70">
        <f>COUNTIF(DOCK!A29,"&lt;&gt;"&amp;"")</f>
        <v>0</v>
      </c>
      <c r="G29" s="73" t="s">
        <v>1176</v>
      </c>
      <c r="H29" s="70">
        <f t="shared" si="0"/>
        <v>0</v>
      </c>
      <c r="I29" s="67"/>
      <c r="J29" s="69"/>
      <c r="K29" s="74"/>
      <c r="L29" s="70">
        <f t="shared" si="1"/>
        <v>0</v>
      </c>
      <c r="M29" s="67"/>
      <c r="N29" s="69"/>
      <c r="O29" s="73"/>
      <c r="P29" s="70">
        <f t="shared" si="2"/>
        <v>0</v>
      </c>
    </row>
    <row r="30" spans="2:16" ht="15.75" thickBot="1">
      <c r="B30" s="68"/>
      <c r="C30" s="69" t="str">
        <f>IFERROR(VLOOKUP(B30,Roster!$A$2:$B$5000,2,FALSE),"-")</f>
        <v>-</v>
      </c>
      <c r="D30" s="69"/>
      <c r="F30" s="75">
        <f>SUM(F2:F29)</f>
        <v>0</v>
      </c>
      <c r="G30" s="76" t="s">
        <v>1351</v>
      </c>
      <c r="H30" s="75">
        <f>SUM(H2:H29)</f>
        <v>0</v>
      </c>
      <c r="I30" s="67"/>
      <c r="J30" s="75">
        <f>SUM(J2:J29)</f>
        <v>0</v>
      </c>
      <c r="K30" s="76" t="s">
        <v>1351</v>
      </c>
      <c r="L30" s="75">
        <f>SUM(L2:L29)</f>
        <v>0</v>
      </c>
      <c r="M30" s="67"/>
      <c r="N30" s="75">
        <f>SUM(N2:N29)</f>
        <v>0</v>
      </c>
      <c r="O30" s="76" t="s">
        <v>1351</v>
      </c>
      <c r="P30" s="75">
        <f>SUM(P2:P29)</f>
        <v>0</v>
      </c>
    </row>
    <row r="31" spans="2:16">
      <c r="B31" s="68"/>
      <c r="C31" s="69" t="str">
        <f>IFERROR(VLOOKUP(B31,Roster!$A$2:$B$5000,2,FALSE),"-")</f>
        <v>-</v>
      </c>
      <c r="D31" s="69"/>
    </row>
    <row r="32" spans="2:16">
      <c r="B32" s="68"/>
      <c r="C32" s="69" t="str">
        <f>IFERROR(VLOOKUP(B32,Roster!$A$2:$B$5000,2,FALSE),"-")</f>
        <v>-</v>
      </c>
      <c r="D32" s="69"/>
    </row>
    <row r="33" spans="2:4">
      <c r="B33" s="68"/>
      <c r="C33" s="69" t="str">
        <f>IFERROR(VLOOKUP(B33,Roster!$A$2:$B$5000,2,FALSE),"-")</f>
        <v>-</v>
      </c>
      <c r="D33" s="69"/>
    </row>
    <row r="34" spans="2:4">
      <c r="B34" s="68"/>
      <c r="C34" s="69" t="str">
        <f>IFERROR(VLOOKUP(B34,Roster!$A$2:$B$5000,2,FALSE),"-")</f>
        <v>-</v>
      </c>
      <c r="D34" s="69"/>
    </row>
    <row r="35" spans="2:4">
      <c r="B35" s="68"/>
      <c r="C35" s="69" t="str">
        <f>IFERROR(VLOOKUP(B35,Roster!$A$2:$B$5000,2,FALSE),"-")</f>
        <v>-</v>
      </c>
      <c r="D35" s="69"/>
    </row>
    <row r="36" spans="2:4">
      <c r="B36" s="68"/>
      <c r="C36" s="69" t="str">
        <f>IFERROR(VLOOKUP(B36,Roster!$A$2:$B$5000,2,FALSE),"-")</f>
        <v>-</v>
      </c>
      <c r="D36" s="69"/>
    </row>
    <row r="37" spans="2:4">
      <c r="B37" s="68"/>
      <c r="C37" s="69" t="str">
        <f>IFERROR(VLOOKUP(B37,Roster!$A$2:$B$5000,2,FALSE),"-")</f>
        <v>-</v>
      </c>
      <c r="D37" s="69"/>
    </row>
    <row r="38" spans="2:4">
      <c r="B38" s="68"/>
      <c r="C38" s="69" t="str">
        <f>IFERROR(VLOOKUP(B38,Roster!$A$2:$B$5000,2,FALSE),"-")</f>
        <v>-</v>
      </c>
      <c r="D38" s="69"/>
    </row>
    <row r="39" spans="2:4">
      <c r="B39" s="68"/>
      <c r="C39" s="69" t="str">
        <f>IFERROR(VLOOKUP(B39,Roster!$A$2:$B$5000,2,FALSE),"-")</f>
        <v>-</v>
      </c>
      <c r="D39" s="69"/>
    </row>
    <row r="40" spans="2:4">
      <c r="B40" s="68"/>
      <c r="C40" s="69" t="str">
        <f>IFERROR(VLOOKUP(B40,Roster!$A$2:$B$5000,2,FALSE),"-")</f>
        <v>-</v>
      </c>
      <c r="D40" s="69"/>
    </row>
    <row r="41" spans="2:4">
      <c r="B41" s="68"/>
      <c r="C41" s="69" t="str">
        <f>IFERROR(VLOOKUP(B41,Roster!$A$2:$B$5000,2,FALSE),"-")</f>
        <v>-</v>
      </c>
      <c r="D41" s="69"/>
    </row>
    <row r="42" spans="2:4">
      <c r="B42" s="68"/>
      <c r="C42" s="69" t="str">
        <f>IFERROR(VLOOKUP(B42,Roster!$A$2:$B$5000,2,FALSE),"-")</f>
        <v>-</v>
      </c>
      <c r="D42" s="69"/>
    </row>
    <row r="43" spans="2:4">
      <c r="B43" s="68"/>
      <c r="C43" s="69" t="str">
        <f>IFERROR(VLOOKUP(B43,Roster!$A$2:$B$5000,2,FALSE),"-")</f>
        <v>-</v>
      </c>
      <c r="D43" s="69"/>
    </row>
    <row r="44" spans="2:4">
      <c r="B44" s="68"/>
      <c r="C44" s="69" t="str">
        <f>IFERROR(VLOOKUP(B44,Roster!$A$2:$B$5000,2,FALSE),"-")</f>
        <v>-</v>
      </c>
      <c r="D44" s="69"/>
    </row>
    <row r="45" spans="2:4">
      <c r="B45" s="68"/>
      <c r="C45" s="69" t="str">
        <f>IFERROR(VLOOKUP(B45,Roster!$A$2:$B$5000,2,FALSE),"-")</f>
        <v>-</v>
      </c>
      <c r="D45" s="69"/>
    </row>
    <row r="46" spans="2:4">
      <c r="B46" s="68"/>
      <c r="C46" s="69" t="str">
        <f>IFERROR(VLOOKUP(B46,Roster!$A$2:$B$5000,2,FALSE),"-")</f>
        <v>-</v>
      </c>
      <c r="D46" s="69"/>
    </row>
    <row r="47" spans="2:4">
      <c r="B47" s="68"/>
      <c r="C47" s="69" t="str">
        <f>IFERROR(VLOOKUP(B47,Roster!$A$2:$B$5000,2,FALSE),"-")</f>
        <v>-</v>
      </c>
      <c r="D47" s="69"/>
    </row>
    <row r="48" spans="2:4">
      <c r="B48" s="68"/>
      <c r="C48" s="69" t="str">
        <f>IFERROR(VLOOKUP(B48,Roster!$A$2:$B$5000,2,FALSE),"-")</f>
        <v>-</v>
      </c>
      <c r="D48" s="69"/>
    </row>
    <row r="49" spans="2:4">
      <c r="B49" s="68"/>
      <c r="C49" s="69" t="str">
        <f>IFERROR(VLOOKUP(B49,Roster!$A$2:$B$5000,2,FALSE),"-")</f>
        <v>-</v>
      </c>
      <c r="D49" s="69"/>
    </row>
    <row r="50" spans="2:4">
      <c r="B50" s="68"/>
      <c r="C50" s="69" t="str">
        <f>IFERROR(VLOOKUP(B50,Roster!$A$2:$B$5000,2,FALSE),"-")</f>
        <v>-</v>
      </c>
      <c r="D50" s="69"/>
    </row>
    <row r="51" spans="2:4">
      <c r="B51" s="68"/>
      <c r="C51" s="69" t="str">
        <f>IFERROR(VLOOKUP(B51,Roster!$A$2:$B$5000,2,FALSE),"-")</f>
        <v>-</v>
      </c>
      <c r="D51" s="69"/>
    </row>
    <row r="52" spans="2:4">
      <c r="B52" s="68"/>
      <c r="C52" s="69" t="str">
        <f>IFERROR(VLOOKUP(B52,Roster!$A$2:$B$5000,2,FALSE),"-")</f>
        <v>-</v>
      </c>
      <c r="D52" s="69"/>
    </row>
    <row r="53" spans="2:4">
      <c r="B53" s="68"/>
      <c r="C53" s="69" t="str">
        <f>IFERROR(VLOOKUP(B53,Roster!$A$2:$B$5000,2,FALSE),"-")</f>
        <v>-</v>
      </c>
      <c r="D53" s="69"/>
    </row>
    <row r="54" spans="2:4">
      <c r="B54" s="68"/>
      <c r="C54" s="69" t="str">
        <f>IFERROR(VLOOKUP(B54,Roster!$A$2:$B$5000,2,FALSE),"-")</f>
        <v>-</v>
      </c>
      <c r="D54" s="69"/>
    </row>
    <row r="55" spans="2:4">
      <c r="B55" s="68"/>
      <c r="C55" s="69" t="str">
        <f>IFERROR(VLOOKUP(B55,Roster!$A$2:$B$5000,2,FALSE),"-")</f>
        <v>-</v>
      </c>
      <c r="D55" s="69"/>
    </row>
    <row r="56" spans="2:4">
      <c r="B56" s="68"/>
      <c r="C56" s="69" t="str">
        <f>IFERROR(VLOOKUP(B56,Roster!$A$2:$B$5000,2,FALSE),"-")</f>
        <v>-</v>
      </c>
      <c r="D56" s="69"/>
    </row>
    <row r="57" spans="2:4">
      <c r="B57" s="68"/>
      <c r="C57" s="69" t="str">
        <f>IFERROR(VLOOKUP(B57,Roster!$A$2:$B$5000,2,FALSE),"-")</f>
        <v>-</v>
      </c>
      <c r="D57" s="69"/>
    </row>
    <row r="58" spans="2:4">
      <c r="B58" s="68"/>
      <c r="C58" s="69" t="str">
        <f>IFERROR(VLOOKUP(B58,Roster!$A$2:$B$5000,2,FALSE),"-")</f>
        <v>-</v>
      </c>
      <c r="D58" s="69"/>
    </row>
    <row r="59" spans="2:4">
      <c r="B59" s="68"/>
      <c r="C59" s="69" t="str">
        <f>IFERROR(VLOOKUP(B59,Roster!$A$2:$B$5000,2,FALSE),"-")</f>
        <v>-</v>
      </c>
      <c r="D59" s="69"/>
    </row>
    <row r="60" spans="2:4">
      <c r="B60" s="68"/>
      <c r="C60" s="69" t="str">
        <f>IFERROR(VLOOKUP(B60,Roster!$A$2:$B$5000,2,FALSE),"-")</f>
        <v>-</v>
      </c>
      <c r="D60" s="69"/>
    </row>
    <row r="61" spans="2:4">
      <c r="B61" s="68"/>
      <c r="C61" s="69" t="str">
        <f>IFERROR(VLOOKUP(B61,Roster!$A$2:$B$5000,2,FALSE),"-")</f>
        <v>-</v>
      </c>
      <c r="D61" s="69"/>
    </row>
    <row r="62" spans="2:4">
      <c r="B62" s="68"/>
      <c r="C62" s="69" t="str">
        <f>IFERROR(VLOOKUP(B62,Roster!$A$2:$B$5000,2,FALSE),"-")</f>
        <v>-</v>
      </c>
      <c r="D62" s="69"/>
    </row>
    <row r="63" spans="2:4">
      <c r="B63" s="68"/>
      <c r="C63" s="69" t="str">
        <f>IFERROR(VLOOKUP(B63,Roster!$A$2:$B$5000,2,FALSE),"-")</f>
        <v>-</v>
      </c>
      <c r="D63" s="69"/>
    </row>
    <row r="64" spans="2:4">
      <c r="B64" s="68"/>
      <c r="C64" s="69" t="str">
        <f>IFERROR(VLOOKUP(B64,Roster!$A$2:$B$5000,2,FALSE),"-")</f>
        <v>-</v>
      </c>
      <c r="D64" s="69"/>
    </row>
    <row r="65" spans="2:4">
      <c r="B65" s="68"/>
      <c r="C65" s="69" t="str">
        <f>IFERROR(VLOOKUP(B65,Roster!$A$2:$B$5000,2,FALSE),"-")</f>
        <v>-</v>
      </c>
      <c r="D65" s="69"/>
    </row>
    <row r="66" spans="2:4">
      <c r="B66" s="68"/>
      <c r="C66" s="69" t="str">
        <f>IFERROR(VLOOKUP(B66,Roster!$A$2:$B$5000,2,FALSE),"-")</f>
        <v>-</v>
      </c>
      <c r="D66" s="69"/>
    </row>
    <row r="67" spans="2:4">
      <c r="B67" s="68"/>
      <c r="C67" s="69" t="str">
        <f>IFERROR(VLOOKUP(B67,Roster!$A$2:$B$5000,2,FALSE),"-")</f>
        <v>-</v>
      </c>
      <c r="D67" s="69"/>
    </row>
    <row r="68" spans="2:4">
      <c r="B68" s="68"/>
      <c r="C68" s="69" t="str">
        <f>IFERROR(VLOOKUP(B68,Roster!$A$2:$B$5000,2,FALSE),"-")</f>
        <v>-</v>
      </c>
      <c r="D68" s="69"/>
    </row>
    <row r="69" spans="2:4">
      <c r="B69" s="68"/>
      <c r="C69" s="69" t="str">
        <f>IFERROR(VLOOKUP(B69,Roster!$A$2:$B$5000,2,FALSE),"-")</f>
        <v>-</v>
      </c>
      <c r="D69" s="69"/>
    </row>
    <row r="70" spans="2:4">
      <c r="B70" s="68"/>
      <c r="C70" s="69" t="str">
        <f>IFERROR(VLOOKUP(B70,Roster!$A$2:$B$5000,2,FALSE),"-")</f>
        <v>-</v>
      </c>
      <c r="D70" s="69"/>
    </row>
    <row r="71" spans="2:4">
      <c r="B71" s="68"/>
      <c r="C71" s="69" t="str">
        <f>IFERROR(VLOOKUP(B71,Roster!$A$2:$B$5000,2,FALSE),"-")</f>
        <v>-</v>
      </c>
      <c r="D71" s="69"/>
    </row>
    <row r="72" spans="2:4">
      <c r="B72" s="68"/>
      <c r="C72" s="69" t="str">
        <f>IFERROR(VLOOKUP(B72,Roster!$A$2:$B$5000,2,FALSE),"-")</f>
        <v>-</v>
      </c>
      <c r="D72" s="69"/>
    </row>
    <row r="73" spans="2:4">
      <c r="B73" s="68"/>
      <c r="C73" s="69" t="str">
        <f>IFERROR(VLOOKUP(B73,Roster!$A$2:$B$5000,2,FALSE),"-")</f>
        <v>-</v>
      </c>
      <c r="D73" s="69"/>
    </row>
    <row r="74" spans="2:4">
      <c r="B74" s="68"/>
      <c r="C74" s="69" t="str">
        <f>IFERROR(VLOOKUP(B74,Roster!$A$2:$B$5000,2,FALSE),"-")</f>
        <v>-</v>
      </c>
      <c r="D74" s="69"/>
    </row>
    <row r="75" spans="2:4">
      <c r="B75" s="68"/>
      <c r="C75" s="69" t="str">
        <f>IFERROR(VLOOKUP(B75,Roster!$A$2:$B$5000,2,FALSE),"-")</f>
        <v>-</v>
      </c>
      <c r="D75" s="69"/>
    </row>
    <row r="76" spans="2:4">
      <c r="B76" s="68"/>
      <c r="C76" s="69" t="str">
        <f>IFERROR(VLOOKUP(B76,Roster!$A$2:$B$5000,2,FALSE),"-")</f>
        <v>-</v>
      </c>
      <c r="D76" s="69"/>
    </row>
    <row r="77" spans="2:4">
      <c r="B77" s="68"/>
      <c r="C77" s="69" t="str">
        <f>IFERROR(VLOOKUP(B77,Roster!$A$2:$B$5000,2,FALSE),"-")</f>
        <v>-</v>
      </c>
      <c r="D77" s="69"/>
    </row>
    <row r="78" spans="2:4">
      <c r="B78" s="68"/>
      <c r="C78" s="69" t="str">
        <f>IFERROR(VLOOKUP(B78,Roster!$A$2:$B$5000,2,FALSE),"-")</f>
        <v>-</v>
      </c>
      <c r="D78" s="69"/>
    </row>
    <row r="79" spans="2:4">
      <c r="B79" s="68"/>
      <c r="C79" s="69" t="str">
        <f>IFERROR(VLOOKUP(B79,Roster!$A$2:$B$5000,2,FALSE),"-")</f>
        <v>-</v>
      </c>
      <c r="D79" s="69"/>
    </row>
    <row r="80" spans="2:4">
      <c r="B80" s="68"/>
      <c r="C80" s="69" t="str">
        <f>IFERROR(VLOOKUP(B80,Roster!$A$2:$B$5000,2,FALSE),"-")</f>
        <v>-</v>
      </c>
      <c r="D80" s="69"/>
    </row>
    <row r="81" spans="2:4">
      <c r="B81" s="68"/>
      <c r="C81" s="69" t="str">
        <f>IFERROR(VLOOKUP(B81,Roster!$A$2:$B$5000,2,FALSE),"-")</f>
        <v>-</v>
      </c>
      <c r="D81" s="69"/>
    </row>
    <row r="82" spans="2:4">
      <c r="B82" s="68"/>
      <c r="C82" s="69" t="str">
        <f>IFERROR(VLOOKUP(B82,Roster!$A$2:$B$5000,2,FALSE),"-")</f>
        <v>-</v>
      </c>
      <c r="D82" s="69"/>
    </row>
    <row r="83" spans="2:4">
      <c r="B83" s="68"/>
      <c r="C83" s="69" t="str">
        <f>IFERROR(VLOOKUP(B83,Roster!$A$2:$B$5000,2,FALSE),"-")</f>
        <v>-</v>
      </c>
      <c r="D83" s="69"/>
    </row>
    <row r="84" spans="2:4">
      <c r="B84" s="68"/>
      <c r="C84" s="69" t="str">
        <f>IFERROR(VLOOKUP(B84,Roster!$A$2:$B$5000,2,FALSE),"-")</f>
        <v>-</v>
      </c>
      <c r="D84" s="69"/>
    </row>
    <row r="85" spans="2:4">
      <c r="B85" s="68"/>
      <c r="C85" s="69" t="str">
        <f>IFERROR(VLOOKUP(B85,Roster!$A$2:$B$5000,2,FALSE),"-")</f>
        <v>-</v>
      </c>
      <c r="D85" s="69"/>
    </row>
    <row r="86" spans="2:4">
      <c r="B86" s="68"/>
      <c r="C86" s="69" t="str">
        <f>IFERROR(VLOOKUP(B86,Roster!$A$2:$B$5000,2,FALSE),"-")</f>
        <v>-</v>
      </c>
      <c r="D86" s="69"/>
    </row>
    <row r="87" spans="2:4">
      <c r="B87" s="68"/>
      <c r="C87" s="69" t="str">
        <f>IFERROR(VLOOKUP(B87,Roster!$A$2:$B$5000,2,FALSE),"-")</f>
        <v>-</v>
      </c>
      <c r="D87" s="69"/>
    </row>
    <row r="88" spans="2:4">
      <c r="B88" s="68"/>
      <c r="C88" s="69" t="str">
        <f>IFERROR(VLOOKUP(B88,Roster!$A$2:$B$5000,2,FALSE),"-")</f>
        <v>-</v>
      </c>
      <c r="D88" s="69"/>
    </row>
    <row r="89" spans="2:4">
      <c r="B89" s="68"/>
      <c r="C89" s="69" t="str">
        <f>IFERROR(VLOOKUP(B89,Roster!$A$2:$B$5000,2,FALSE),"-")</f>
        <v>-</v>
      </c>
      <c r="D89" s="69"/>
    </row>
    <row r="90" spans="2:4">
      <c r="B90" s="68"/>
      <c r="C90" s="69" t="str">
        <f>IFERROR(VLOOKUP(B90,Roster!$A$2:$B$5000,2,FALSE),"-")</f>
        <v>-</v>
      </c>
      <c r="D90" s="69"/>
    </row>
    <row r="91" spans="2:4">
      <c r="B91" s="68"/>
      <c r="C91" s="69" t="str">
        <f>IFERROR(VLOOKUP(B91,Roster!$A$2:$B$5000,2,FALSE),"-")</f>
        <v>-</v>
      </c>
      <c r="D91" s="69"/>
    </row>
    <row r="92" spans="2:4">
      <c r="B92" s="68"/>
      <c r="C92" s="69" t="str">
        <f>IFERROR(VLOOKUP(B92,Roster!$A$2:$B$5000,2,FALSE),"-")</f>
        <v>-</v>
      </c>
      <c r="D92" s="69"/>
    </row>
    <row r="93" spans="2:4">
      <c r="B93" s="68"/>
      <c r="C93" s="69" t="str">
        <f>IFERROR(VLOOKUP(B93,Roster!$A$2:$B$5000,2,FALSE),"-")</f>
        <v>-</v>
      </c>
      <c r="D93" s="69"/>
    </row>
    <row r="94" spans="2:4">
      <c r="B94" s="68"/>
      <c r="C94" s="69" t="str">
        <f>IFERROR(VLOOKUP(B94,Roster!$A$2:$B$5000,2,FALSE),"-")</f>
        <v>-</v>
      </c>
      <c r="D94" s="69"/>
    </row>
    <row r="95" spans="2:4">
      <c r="B95" s="68"/>
      <c r="C95" s="69" t="str">
        <f>IFERROR(VLOOKUP(B95,Roster!$A$2:$B$5000,2,FALSE),"-")</f>
        <v>-</v>
      </c>
      <c r="D95" s="69"/>
    </row>
    <row r="96" spans="2:4">
      <c r="B96" s="68"/>
      <c r="C96" s="69" t="str">
        <f>IFERROR(VLOOKUP(B96,Roster!$A$2:$B$5000,2,FALSE),"-")</f>
        <v>-</v>
      </c>
      <c r="D96" s="69"/>
    </row>
    <row r="97" spans="2:4">
      <c r="B97" s="68"/>
      <c r="C97" s="69" t="str">
        <f>IFERROR(VLOOKUP(B97,Roster!$A$2:$B$5000,2,FALSE),"-")</f>
        <v>-</v>
      </c>
      <c r="D97" s="69"/>
    </row>
    <row r="98" spans="2:4">
      <c r="B98" s="68"/>
      <c r="C98" s="69" t="str">
        <f>IFERROR(VLOOKUP(B98,Roster!$A$2:$B$5000,2,FALSE),"-")</f>
        <v>-</v>
      </c>
      <c r="D98" s="69"/>
    </row>
    <row r="99" spans="2:4">
      <c r="B99" s="68"/>
      <c r="C99" s="69" t="str">
        <f>IFERROR(VLOOKUP(B99,Roster!$A$2:$B$5000,2,FALSE),"-")</f>
        <v>-</v>
      </c>
      <c r="D99" s="69"/>
    </row>
    <row r="100" spans="2:4">
      <c r="B100" s="68"/>
      <c r="C100" s="69" t="str">
        <f>IFERROR(VLOOKUP(B100,Roster!$A$2:$B$5000,2,FALSE),"-")</f>
        <v>-</v>
      </c>
      <c r="D100" s="69"/>
    </row>
    <row r="101" spans="2:4">
      <c r="B101" s="68"/>
      <c r="C101" s="69" t="str">
        <f>IFERROR(VLOOKUP(B101,Roster!$A$2:$B$5000,2,FALSE),"-")</f>
        <v>-</v>
      </c>
      <c r="D101" s="69"/>
    </row>
    <row r="102" spans="2:4">
      <c r="B102" s="68"/>
      <c r="C102" s="69" t="str">
        <f>IFERROR(VLOOKUP(B102,Roster!$A$2:$B$5000,2,FALSE),"-")</f>
        <v>-</v>
      </c>
      <c r="D102" s="69"/>
    </row>
    <row r="103" spans="2:4">
      <c r="B103" s="68"/>
      <c r="C103" s="69" t="str">
        <f>IFERROR(VLOOKUP(B103,Roster!$A$2:$B$5000,2,FALSE),"-")</f>
        <v>-</v>
      </c>
      <c r="D103" s="69"/>
    </row>
    <row r="104" spans="2:4">
      <c r="B104" s="68"/>
      <c r="C104" s="69" t="str">
        <f>IFERROR(VLOOKUP(B104,Roster!$A$2:$B$5000,2,FALSE),"-")</f>
        <v>-</v>
      </c>
      <c r="D104" s="69"/>
    </row>
    <row r="105" spans="2:4">
      <c r="B105" s="68"/>
      <c r="C105" s="69" t="str">
        <f>IFERROR(VLOOKUP(B105,Roster!$A$2:$B$5000,2,FALSE),"-")</f>
        <v>-</v>
      </c>
      <c r="D105" s="69"/>
    </row>
    <row r="106" spans="2:4">
      <c r="B106" s="68"/>
      <c r="C106" s="69" t="str">
        <f>IFERROR(VLOOKUP(B106,Roster!$A$2:$B$5000,2,FALSE),"-")</f>
        <v>-</v>
      </c>
      <c r="D106" s="69"/>
    </row>
    <row r="107" spans="2:4">
      <c r="B107" s="68"/>
      <c r="C107" s="69" t="str">
        <f>IFERROR(VLOOKUP(B107,Roster!$A$2:$B$5000,2,FALSE),"-")</f>
        <v>-</v>
      </c>
      <c r="D107" s="69"/>
    </row>
    <row r="108" spans="2:4">
      <c r="B108" s="68"/>
      <c r="C108" s="69" t="str">
        <f>IFERROR(VLOOKUP(B108,Roster!$A$2:$B$5000,2,FALSE),"-")</f>
        <v>-</v>
      </c>
      <c r="D108" s="69"/>
    </row>
    <row r="109" spans="2:4">
      <c r="B109" s="68"/>
      <c r="C109" s="69" t="str">
        <f>IFERROR(VLOOKUP(B109,Roster!$A$2:$B$5000,2,FALSE),"-")</f>
        <v>-</v>
      </c>
      <c r="D109" s="69"/>
    </row>
    <row r="110" spans="2:4">
      <c r="B110" s="68"/>
      <c r="C110" s="69" t="str">
        <f>IFERROR(VLOOKUP(B110,Roster!$A$2:$B$5000,2,FALSE),"-")</f>
        <v>-</v>
      </c>
      <c r="D110" s="69"/>
    </row>
    <row r="111" spans="2:4">
      <c r="B111" s="68"/>
      <c r="C111" s="69" t="str">
        <f>IFERROR(VLOOKUP(B111,Roster!$A$2:$B$5000,2,FALSE),"-")</f>
        <v>-</v>
      </c>
      <c r="D111" s="69"/>
    </row>
    <row r="112" spans="2:4">
      <c r="B112" s="68"/>
      <c r="C112" s="69" t="str">
        <f>IFERROR(VLOOKUP(B112,Roster!$A$2:$B$5000,2,FALSE),"-")</f>
        <v>-</v>
      </c>
      <c r="D112" s="69"/>
    </row>
    <row r="113" spans="2:4">
      <c r="B113" s="68"/>
      <c r="C113" s="69" t="str">
        <f>IFERROR(VLOOKUP(B113,Roster!$A$2:$B$5000,2,FALSE),"-")</f>
        <v>-</v>
      </c>
      <c r="D113" s="69"/>
    </row>
    <row r="114" spans="2:4">
      <c r="B114" s="68"/>
      <c r="C114" s="69" t="str">
        <f>IFERROR(VLOOKUP(B114,Roster!$A$2:$B$5000,2,FALSE),"-")</f>
        <v>-</v>
      </c>
      <c r="D114" s="69"/>
    </row>
    <row r="115" spans="2:4">
      <c r="B115" s="68"/>
      <c r="C115" s="69" t="str">
        <f>IFERROR(VLOOKUP(B115,Roster!$A$2:$B$5000,2,FALSE),"-")</f>
        <v>-</v>
      </c>
      <c r="D115" s="69"/>
    </row>
    <row r="116" spans="2:4">
      <c r="B116" s="68"/>
      <c r="C116" s="69" t="str">
        <f>IFERROR(VLOOKUP(B116,Roster!$A$2:$B$5000,2,FALSE),"-")</f>
        <v>-</v>
      </c>
      <c r="D116" s="69"/>
    </row>
    <row r="117" spans="2:4">
      <c r="B117" s="68"/>
      <c r="C117" s="69" t="str">
        <f>IFERROR(VLOOKUP(B117,Roster!$A$2:$B$5000,2,FALSE),"-")</f>
        <v>-</v>
      </c>
      <c r="D117" s="69"/>
    </row>
    <row r="118" spans="2:4">
      <c r="B118" s="68"/>
      <c r="C118" s="69" t="str">
        <f>IFERROR(VLOOKUP(B118,Roster!$A$2:$B$5000,2,FALSE),"-")</f>
        <v>-</v>
      </c>
      <c r="D118" s="69"/>
    </row>
    <row r="119" spans="2:4">
      <c r="B119" s="68"/>
      <c r="C119" s="69" t="str">
        <f>IFERROR(VLOOKUP(B119,Roster!$A$2:$B$5000,2,FALSE),"-")</f>
        <v>-</v>
      </c>
      <c r="D119" s="69"/>
    </row>
    <row r="120" spans="2:4">
      <c r="B120" s="68"/>
      <c r="C120" s="69" t="str">
        <f>IFERROR(VLOOKUP(B120,Roster!$A$2:$B$5000,2,FALSE),"-")</f>
        <v>-</v>
      </c>
      <c r="D120" s="69"/>
    </row>
    <row r="121" spans="2:4">
      <c r="B121" s="68"/>
      <c r="C121" s="69" t="str">
        <f>IFERROR(VLOOKUP(B121,Roster!$A$2:$B$5000,2,FALSE),"-")</f>
        <v>-</v>
      </c>
      <c r="D121" s="69"/>
    </row>
    <row r="122" spans="2:4">
      <c r="B122" s="68"/>
      <c r="C122" s="69" t="str">
        <f>IFERROR(VLOOKUP(B122,Roster!$A$2:$B$5000,2,FALSE),"-")</f>
        <v>-</v>
      </c>
      <c r="D122" s="69"/>
    </row>
    <row r="123" spans="2:4">
      <c r="B123" s="68"/>
      <c r="C123" s="69" t="str">
        <f>IFERROR(VLOOKUP(B123,Roster!$A$2:$B$5000,2,FALSE),"-")</f>
        <v>-</v>
      </c>
      <c r="D123" s="69"/>
    </row>
    <row r="124" spans="2:4">
      <c r="B124" s="68"/>
      <c r="C124" s="69" t="str">
        <f>IFERROR(VLOOKUP(B124,Roster!$A$2:$B$5000,2,FALSE),"-")</f>
        <v>-</v>
      </c>
      <c r="D124" s="69"/>
    </row>
    <row r="125" spans="2:4">
      <c r="B125" s="68"/>
      <c r="C125" s="69" t="str">
        <f>IFERROR(VLOOKUP(B125,Roster!$A$2:$B$5000,2,FALSE),"-")</f>
        <v>-</v>
      </c>
      <c r="D125" s="69"/>
    </row>
    <row r="126" spans="2:4">
      <c r="B126" s="68"/>
      <c r="C126" s="69" t="str">
        <f>IFERROR(VLOOKUP(B126,Roster!$A$2:$B$5000,2,FALSE),"-")</f>
        <v>-</v>
      </c>
      <c r="D126" s="69"/>
    </row>
    <row r="127" spans="2:4">
      <c r="B127" s="68"/>
      <c r="C127" s="69" t="str">
        <f>IFERROR(VLOOKUP(B127,Roster!$A$2:$B$5000,2,FALSE),"-")</f>
        <v>-</v>
      </c>
      <c r="D127" s="69"/>
    </row>
    <row r="128" spans="2:4">
      <c r="B128" s="68"/>
      <c r="C128" s="69" t="str">
        <f>IFERROR(VLOOKUP(B128,Roster!$A$2:$B$5000,2,FALSE),"-")</f>
        <v>-</v>
      </c>
      <c r="D128" s="69"/>
    </row>
    <row r="129" spans="2:4">
      <c r="B129" s="68"/>
      <c r="C129" s="69" t="str">
        <f>IFERROR(VLOOKUP(B129,Roster!$A$2:$B$5000,2,FALSE),"-")</f>
        <v>-</v>
      </c>
      <c r="D129" s="69"/>
    </row>
    <row r="130" spans="2:4">
      <c r="B130" s="68"/>
      <c r="C130" s="69" t="str">
        <f>IFERROR(VLOOKUP(B130,Roster!$A$2:$B$5000,2,FALSE),"-")</f>
        <v>-</v>
      </c>
      <c r="D130" s="69"/>
    </row>
    <row r="131" spans="2:4">
      <c r="B131" s="68"/>
      <c r="C131" s="69" t="str">
        <f>IFERROR(VLOOKUP(B131,Roster!$A$2:$B$5000,2,FALSE),"-")</f>
        <v>-</v>
      </c>
      <c r="D131" s="69"/>
    </row>
    <row r="132" spans="2:4">
      <c r="B132" s="68"/>
      <c r="C132" s="69" t="str">
        <f>IFERROR(VLOOKUP(B132,Roster!$A$2:$B$5000,2,FALSE),"-")</f>
        <v>-</v>
      </c>
      <c r="D132" s="69"/>
    </row>
    <row r="133" spans="2:4">
      <c r="B133" s="68"/>
      <c r="C133" s="69" t="str">
        <f>IFERROR(VLOOKUP(B133,Roster!$A$2:$B$5000,2,FALSE),"-")</f>
        <v>-</v>
      </c>
      <c r="D133" s="69"/>
    </row>
    <row r="134" spans="2:4">
      <c r="B134" s="68"/>
      <c r="C134" s="69" t="str">
        <f>IFERROR(VLOOKUP(B134,Roster!$A$2:$B$5000,2,FALSE),"-")</f>
        <v>-</v>
      </c>
      <c r="D134" s="69"/>
    </row>
    <row r="135" spans="2:4">
      <c r="B135" s="68"/>
      <c r="C135" s="69" t="str">
        <f>IFERROR(VLOOKUP(B135,Roster!$A$2:$B$5000,2,FALSE),"-")</f>
        <v>-</v>
      </c>
      <c r="D135" s="69"/>
    </row>
    <row r="136" spans="2:4">
      <c r="B136" s="68"/>
      <c r="C136" s="69" t="str">
        <f>IFERROR(VLOOKUP(B136,Roster!$A$2:$B$5000,2,FALSE),"-")</f>
        <v>-</v>
      </c>
      <c r="D136" s="69"/>
    </row>
    <row r="137" spans="2:4">
      <c r="B137" s="68"/>
      <c r="C137" s="69" t="str">
        <f>IFERROR(VLOOKUP(B137,Roster!$A$2:$B$5000,2,FALSE),"-")</f>
        <v>-</v>
      </c>
      <c r="D137" s="69"/>
    </row>
    <row r="138" spans="2:4">
      <c r="B138" s="68"/>
      <c r="C138" s="69" t="str">
        <f>IFERROR(VLOOKUP(B138,Roster!$A$2:$B$5000,2,FALSE),"-")</f>
        <v>-</v>
      </c>
      <c r="D138" s="69"/>
    </row>
    <row r="139" spans="2:4">
      <c r="B139" s="68"/>
      <c r="C139" s="69" t="str">
        <f>IFERROR(VLOOKUP(B139,Roster!$A$2:$B$5000,2,FALSE),"-")</f>
        <v>-</v>
      </c>
      <c r="D139" s="69"/>
    </row>
    <row r="140" spans="2:4">
      <c r="B140" s="68"/>
      <c r="C140" s="69" t="str">
        <f>IFERROR(VLOOKUP(B140,Roster!$A$2:$B$5000,2,FALSE),"-")</f>
        <v>-</v>
      </c>
      <c r="D140" s="69"/>
    </row>
    <row r="141" spans="2:4">
      <c r="B141" s="68"/>
      <c r="C141" s="69" t="str">
        <f>IFERROR(VLOOKUP(B141,Roster!$A$2:$B$5000,2,FALSE),"-")</f>
        <v>-</v>
      </c>
      <c r="D141" s="69"/>
    </row>
    <row r="142" spans="2:4">
      <c r="B142" s="68"/>
      <c r="C142" s="69" t="str">
        <f>IFERROR(VLOOKUP(B142,Roster!$A$2:$B$5000,2,FALSE),"-")</f>
        <v>-</v>
      </c>
      <c r="D142" s="69"/>
    </row>
    <row r="143" spans="2:4">
      <c r="B143" s="68"/>
      <c r="C143" s="69" t="str">
        <f>IFERROR(VLOOKUP(B143,Roster!$A$2:$B$5000,2,FALSE),"-")</f>
        <v>-</v>
      </c>
      <c r="D143" s="69"/>
    </row>
    <row r="144" spans="2:4">
      <c r="B144" s="68"/>
      <c r="C144" s="69" t="str">
        <f>IFERROR(VLOOKUP(B144,Roster!$A$2:$B$5000,2,FALSE),"-")</f>
        <v>-</v>
      </c>
      <c r="D144" s="69"/>
    </row>
    <row r="145" spans="2:4">
      <c r="B145" s="68"/>
      <c r="C145" s="69" t="str">
        <f>IFERROR(VLOOKUP(B145,Roster!$A$2:$B$5000,2,FALSE),"-")</f>
        <v>-</v>
      </c>
      <c r="D145" s="69"/>
    </row>
    <row r="146" spans="2:4">
      <c r="B146" s="68"/>
      <c r="C146" s="69" t="str">
        <f>IFERROR(VLOOKUP(B146,Roster!$A$2:$B$5000,2,FALSE),"-")</f>
        <v>-</v>
      </c>
      <c r="D146" s="69"/>
    </row>
    <row r="147" spans="2:4">
      <c r="B147" s="68"/>
      <c r="C147" s="69" t="str">
        <f>IFERROR(VLOOKUP(B147,Roster!$A$2:$B$5000,2,FALSE),"-")</f>
        <v>-</v>
      </c>
      <c r="D147" s="69"/>
    </row>
    <row r="148" spans="2:4">
      <c r="B148" s="68"/>
      <c r="C148" s="69" t="str">
        <f>IFERROR(VLOOKUP(B148,Roster!$A$2:$B$5000,2,FALSE),"-")</f>
        <v>-</v>
      </c>
      <c r="D148" s="69"/>
    </row>
    <row r="149" spans="2:4">
      <c r="B149" s="68"/>
      <c r="C149" s="69" t="str">
        <f>IFERROR(VLOOKUP(B149,Roster!$A$2:$B$5000,2,FALSE),"-")</f>
        <v>-</v>
      </c>
      <c r="D149" s="69"/>
    </row>
    <row r="150" spans="2:4">
      <c r="B150" s="68"/>
      <c r="C150" s="69" t="str">
        <f>IFERROR(VLOOKUP(B150,Roster!$A$2:$B$5000,2,FALSE),"-")</f>
        <v>-</v>
      </c>
      <c r="D150" s="69"/>
    </row>
    <row r="151" spans="2:4">
      <c r="B151" s="68"/>
      <c r="C151" s="69" t="str">
        <f>IFERROR(VLOOKUP(B151,Roster!$A$2:$B$5000,2,FALSE),"-")</f>
        <v>-</v>
      </c>
      <c r="D151" s="69"/>
    </row>
    <row r="152" spans="2:4">
      <c r="B152" s="68"/>
      <c r="C152" s="69" t="str">
        <f>IFERROR(VLOOKUP(B152,Roster!$A$2:$B$5000,2,FALSE),"-")</f>
        <v>-</v>
      </c>
      <c r="D152" s="69"/>
    </row>
    <row r="153" spans="2:4">
      <c r="B153" s="68"/>
      <c r="C153" s="69" t="str">
        <f>IFERROR(VLOOKUP(B153,Roster!$A$2:$B$5000,2,FALSE),"-")</f>
        <v>-</v>
      </c>
      <c r="D153" s="69"/>
    </row>
    <row r="154" spans="2:4">
      <c r="B154" s="68"/>
      <c r="C154" s="69" t="str">
        <f>IFERROR(VLOOKUP(B154,Roster!$A$2:$B$5000,2,FALSE),"-")</f>
        <v>-</v>
      </c>
      <c r="D154" s="69"/>
    </row>
    <row r="155" spans="2:4">
      <c r="B155" s="68"/>
      <c r="C155" s="69" t="str">
        <f>IFERROR(VLOOKUP(B155,Roster!$A$2:$B$5000,2,FALSE),"-")</f>
        <v>-</v>
      </c>
      <c r="D155" s="69"/>
    </row>
    <row r="156" spans="2:4">
      <c r="B156" s="68"/>
      <c r="C156" s="69" t="str">
        <f>IFERROR(VLOOKUP(B156,Roster!$A$2:$B$5000,2,FALSE),"-")</f>
        <v>-</v>
      </c>
      <c r="D156" s="69"/>
    </row>
    <row r="157" spans="2:4">
      <c r="B157" s="68"/>
      <c r="C157" s="69" t="str">
        <f>IFERROR(VLOOKUP(B157,Roster!$A$2:$B$5000,2,FALSE),"-")</f>
        <v>-</v>
      </c>
      <c r="D157" s="69"/>
    </row>
    <row r="158" spans="2:4">
      <c r="B158" s="68"/>
      <c r="C158" s="69" t="str">
        <f>IFERROR(VLOOKUP(B158,Roster!$A$2:$B$5000,2,FALSE),"-")</f>
        <v>-</v>
      </c>
      <c r="D158" s="69"/>
    </row>
    <row r="159" spans="2:4">
      <c r="B159" s="68"/>
      <c r="C159" s="69" t="str">
        <f>IFERROR(VLOOKUP(B159,Roster!$A$2:$B$5000,2,FALSE),"-")</f>
        <v>-</v>
      </c>
      <c r="D159" s="69"/>
    </row>
    <row r="160" spans="2:4">
      <c r="B160" s="68"/>
      <c r="C160" s="69" t="str">
        <f>IFERROR(VLOOKUP(B160,Roster!$A$2:$B$5000,2,FALSE),"-")</f>
        <v>-</v>
      </c>
      <c r="D160" s="69"/>
    </row>
    <row r="161" spans="2:4">
      <c r="B161" s="68"/>
      <c r="C161" s="69" t="str">
        <f>IFERROR(VLOOKUP(B161,Roster!$A$2:$B$5000,2,FALSE),"-")</f>
        <v>-</v>
      </c>
      <c r="D161" s="69"/>
    </row>
    <row r="162" spans="2:4">
      <c r="B162" s="68"/>
      <c r="C162" s="69" t="str">
        <f>IFERROR(VLOOKUP(B162,Roster!$A$2:$B$5000,2,FALSE),"-")</f>
        <v>-</v>
      </c>
      <c r="D162" s="69"/>
    </row>
    <row r="163" spans="2:4">
      <c r="B163" s="68"/>
      <c r="C163" s="69" t="str">
        <f>IFERROR(VLOOKUP(B163,Roster!$A$2:$B$5000,2,FALSE),"-")</f>
        <v>-</v>
      </c>
      <c r="D163" s="69"/>
    </row>
    <row r="164" spans="2:4">
      <c r="B164" s="68"/>
      <c r="C164" s="69" t="str">
        <f>IFERROR(VLOOKUP(B164,Roster!$A$2:$B$5000,2,FALSE),"-")</f>
        <v>-</v>
      </c>
      <c r="D164" s="69"/>
    </row>
    <row r="165" spans="2:4">
      <c r="B165" s="68"/>
      <c r="C165" s="69" t="str">
        <f>IFERROR(VLOOKUP(B165,Roster!$A$2:$B$5000,2,FALSE),"-")</f>
        <v>-</v>
      </c>
      <c r="D165" s="69"/>
    </row>
    <row r="166" spans="2:4">
      <c r="B166" s="68"/>
      <c r="C166" s="69" t="str">
        <f>IFERROR(VLOOKUP(B166,Roster!$A$2:$B$5000,2,FALSE),"-")</f>
        <v>-</v>
      </c>
      <c r="D166" s="69"/>
    </row>
    <row r="167" spans="2:4">
      <c r="B167" s="68"/>
      <c r="C167" s="69" t="str">
        <f>IFERROR(VLOOKUP(B167,Roster!$A$2:$B$5000,2,FALSE),"-")</f>
        <v>-</v>
      </c>
      <c r="D167" s="69"/>
    </row>
    <row r="168" spans="2:4">
      <c r="B168" s="68"/>
      <c r="C168" s="69" t="str">
        <f>IFERROR(VLOOKUP(B168,Roster!$A$2:$B$5000,2,FALSE),"-")</f>
        <v>-</v>
      </c>
      <c r="D168" s="69"/>
    </row>
    <row r="169" spans="2:4">
      <c r="B169" s="68"/>
      <c r="C169" s="69" t="str">
        <f>IFERROR(VLOOKUP(B169,Roster!$A$2:$B$5000,2,FALSE),"-")</f>
        <v>-</v>
      </c>
      <c r="D169" s="69"/>
    </row>
    <row r="170" spans="2:4">
      <c r="B170" s="68"/>
      <c r="C170" s="69" t="str">
        <f>IFERROR(VLOOKUP(B170,Roster!$A$2:$B$5000,2,FALSE),"-")</f>
        <v>-</v>
      </c>
      <c r="D170" s="69"/>
    </row>
    <row r="171" spans="2:4">
      <c r="B171" s="68"/>
      <c r="C171" s="69" t="str">
        <f>IFERROR(VLOOKUP(B171,Roster!$A$2:$B$5000,2,FALSE),"-")</f>
        <v>-</v>
      </c>
      <c r="D171" s="69"/>
    </row>
    <row r="172" spans="2:4">
      <c r="B172" s="68"/>
      <c r="C172" s="69" t="str">
        <f>IFERROR(VLOOKUP(B172,Roster!$A$2:$B$5000,2,FALSE),"-")</f>
        <v>-</v>
      </c>
      <c r="D172" s="69"/>
    </row>
    <row r="173" spans="2:4">
      <c r="B173" s="68"/>
      <c r="C173" s="69" t="str">
        <f>IFERROR(VLOOKUP(B173,Roster!$A$2:$B$5000,2,FALSE),"-")</f>
        <v>-</v>
      </c>
      <c r="D173" s="69"/>
    </row>
    <row r="174" spans="2:4">
      <c r="B174" s="68"/>
      <c r="C174" s="69" t="str">
        <f>IFERROR(VLOOKUP(B174,Roster!$A$2:$B$5000,2,FALSE),"-")</f>
        <v>-</v>
      </c>
      <c r="D174" s="69"/>
    </row>
    <row r="175" spans="2:4">
      <c r="B175" s="68"/>
      <c r="C175" s="69" t="str">
        <f>IFERROR(VLOOKUP(B175,Roster!$A$2:$B$5000,2,FALSE),"-")</f>
        <v>-</v>
      </c>
      <c r="D175" s="69"/>
    </row>
    <row r="176" spans="2:4">
      <c r="B176" s="68"/>
      <c r="C176" s="69" t="str">
        <f>IFERROR(VLOOKUP(B176,Roster!$A$2:$B$5000,2,FALSE),"-")</f>
        <v>-</v>
      </c>
      <c r="D176" s="69"/>
    </row>
    <row r="177" spans="2:4">
      <c r="B177" s="68"/>
      <c r="C177" s="69" t="str">
        <f>IFERROR(VLOOKUP(B177,Roster!$A$2:$B$5000,2,FALSE),"-")</f>
        <v>-</v>
      </c>
      <c r="D177" s="69"/>
    </row>
    <row r="178" spans="2:4">
      <c r="B178" s="68"/>
      <c r="C178" s="69" t="str">
        <f>IFERROR(VLOOKUP(B178,Roster!$A$2:$B$5000,2,FALSE),"-")</f>
        <v>-</v>
      </c>
      <c r="D178" s="69"/>
    </row>
    <row r="179" spans="2:4">
      <c r="B179" s="68"/>
      <c r="C179" s="69" t="str">
        <f>IFERROR(VLOOKUP(B179,Roster!$A$2:$B$5000,2,FALSE),"-")</f>
        <v>-</v>
      </c>
      <c r="D179" s="69"/>
    </row>
    <row r="180" spans="2:4">
      <c r="B180" s="68"/>
      <c r="C180" s="69" t="str">
        <f>IFERROR(VLOOKUP(B180,Roster!$A$2:$B$5000,2,FALSE),"-")</f>
        <v>-</v>
      </c>
      <c r="D180" s="69"/>
    </row>
    <row r="181" spans="2:4">
      <c r="B181" s="68"/>
      <c r="C181" s="69" t="str">
        <f>IFERROR(VLOOKUP(B181,Roster!$A$2:$B$5000,2,FALSE),"-")</f>
        <v>-</v>
      </c>
      <c r="D181" s="69"/>
    </row>
    <row r="182" spans="2:4">
      <c r="B182" s="68"/>
      <c r="C182" s="69" t="str">
        <f>IFERROR(VLOOKUP(B182,Roster!$A$2:$B$5000,2,FALSE),"-")</f>
        <v>-</v>
      </c>
      <c r="D182" s="69"/>
    </row>
    <row r="183" spans="2:4">
      <c r="B183" s="68"/>
      <c r="C183" s="69" t="str">
        <f>IFERROR(VLOOKUP(B183,Roster!$A$2:$B$5000,2,FALSE),"-")</f>
        <v>-</v>
      </c>
      <c r="D183" s="69"/>
    </row>
    <row r="184" spans="2:4">
      <c r="B184" s="68"/>
      <c r="C184" s="69" t="str">
        <f>IFERROR(VLOOKUP(B184,Roster!$A$2:$B$5000,2,FALSE),"-")</f>
        <v>-</v>
      </c>
      <c r="D184" s="69"/>
    </row>
    <row r="185" spans="2:4">
      <c r="B185" s="68"/>
      <c r="C185" s="69" t="str">
        <f>IFERROR(VLOOKUP(B185,Roster!$A$2:$B$5000,2,FALSE),"-")</f>
        <v>-</v>
      </c>
      <c r="D185" s="69"/>
    </row>
    <row r="186" spans="2:4">
      <c r="B186" s="68"/>
      <c r="C186" s="69" t="str">
        <f>IFERROR(VLOOKUP(B186,Roster!$A$2:$B$5000,2,FALSE),"-")</f>
        <v>-</v>
      </c>
      <c r="D186" s="69"/>
    </row>
    <row r="187" spans="2:4">
      <c r="B187" s="68"/>
      <c r="C187" s="69" t="str">
        <f>IFERROR(VLOOKUP(B187,Roster!$A$2:$B$5000,2,FALSE),"-")</f>
        <v>-</v>
      </c>
      <c r="D187" s="69"/>
    </row>
    <row r="188" spans="2:4">
      <c r="B188" s="68"/>
      <c r="C188" s="69" t="str">
        <f>IFERROR(VLOOKUP(B188,Roster!$A$2:$B$5000,2,FALSE),"-")</f>
        <v>-</v>
      </c>
      <c r="D188" s="69"/>
    </row>
    <row r="189" spans="2:4">
      <c r="B189" s="68"/>
      <c r="C189" s="69" t="str">
        <f>IFERROR(VLOOKUP(B189,Roster!$A$2:$B$5000,2,FALSE),"-")</f>
        <v>-</v>
      </c>
      <c r="D189" s="69"/>
    </row>
    <row r="190" spans="2:4">
      <c r="B190" s="68"/>
      <c r="C190" s="69" t="str">
        <f>IFERROR(VLOOKUP(B190,Roster!$A$2:$B$5000,2,FALSE),"-")</f>
        <v>-</v>
      </c>
      <c r="D190" s="69"/>
    </row>
    <row r="191" spans="2:4">
      <c r="B191" s="68"/>
      <c r="C191" s="69" t="str">
        <f>IFERROR(VLOOKUP(B191,Roster!$A$2:$B$5000,2,FALSE),"-")</f>
        <v>-</v>
      </c>
      <c r="D191" s="69"/>
    </row>
    <row r="192" spans="2:4">
      <c r="B192" s="68"/>
      <c r="C192" s="69" t="str">
        <f>IFERROR(VLOOKUP(B192,Roster!$A$2:$B$5000,2,FALSE),"-")</f>
        <v>-</v>
      </c>
      <c r="D192" s="69"/>
    </row>
    <row r="193" spans="2:4">
      <c r="B193" s="68"/>
      <c r="C193" s="69" t="str">
        <f>IFERROR(VLOOKUP(B193,Roster!$A$2:$B$5000,2,FALSE),"-")</f>
        <v>-</v>
      </c>
      <c r="D193" s="69"/>
    </row>
    <row r="194" spans="2:4">
      <c r="B194" s="68"/>
      <c r="C194" s="69" t="str">
        <f>IFERROR(VLOOKUP(B194,Roster!$A$2:$B$5000,2,FALSE),"-")</f>
        <v>-</v>
      </c>
      <c r="D194" s="69"/>
    </row>
    <row r="195" spans="2:4">
      <c r="B195" s="68"/>
      <c r="C195" s="69" t="str">
        <f>IFERROR(VLOOKUP(B195,Roster!$A$2:$B$5000,2,FALSE),"-")</f>
        <v>-</v>
      </c>
      <c r="D195" s="69"/>
    </row>
    <row r="196" spans="2:4">
      <c r="B196" s="68"/>
      <c r="C196" s="69" t="str">
        <f>IFERROR(VLOOKUP(B196,Roster!$A$2:$B$5000,2,FALSE),"-")</f>
        <v>-</v>
      </c>
      <c r="D196" s="69"/>
    </row>
    <row r="197" spans="2:4">
      <c r="B197" s="68"/>
      <c r="C197" s="69" t="str">
        <f>IFERROR(VLOOKUP(B197,Roster!$A$2:$B$5000,2,FALSE),"-")</f>
        <v>-</v>
      </c>
      <c r="D197" s="69"/>
    </row>
    <row r="198" spans="2:4">
      <c r="B198" s="68"/>
      <c r="C198" s="69" t="str">
        <f>IFERROR(VLOOKUP(B198,Roster!$A$2:$B$5000,2,FALSE),"-")</f>
        <v>-</v>
      </c>
      <c r="D198" s="69"/>
    </row>
    <row r="199" spans="2:4">
      <c r="B199" s="68"/>
      <c r="C199" s="69" t="str">
        <f>IFERROR(VLOOKUP(B199,Roster!$A$2:$B$5000,2,FALSE),"-")</f>
        <v>-</v>
      </c>
      <c r="D199" s="69"/>
    </row>
    <row r="200" spans="2:4">
      <c r="B200" s="68"/>
      <c r="C200" s="69" t="str">
        <f>IFERROR(VLOOKUP(B200,Roster!$A$2:$B$5000,2,FALSE),"-")</f>
        <v>-</v>
      </c>
      <c r="D200" s="69"/>
    </row>
    <row r="201" spans="2:4">
      <c r="B201" s="68"/>
      <c r="C201" s="69" t="str">
        <f>IFERROR(VLOOKUP(B201,Roster!$A$2:$B$5000,2,FALSE),"-")</f>
        <v>-</v>
      </c>
      <c r="D201" s="69"/>
    </row>
    <row r="202" spans="2:4">
      <c r="B202" s="68"/>
      <c r="C202" s="69" t="str">
        <f>IFERROR(VLOOKUP(B202,Roster!$A$2:$B$5000,2,FALSE),"-")</f>
        <v>-</v>
      </c>
      <c r="D202" s="69"/>
    </row>
    <row r="203" spans="2:4">
      <c r="B203" s="68"/>
      <c r="C203" s="69" t="str">
        <f>IFERROR(VLOOKUP(B203,Roster!$A$2:$B$5000,2,FALSE),"-")</f>
        <v>-</v>
      </c>
      <c r="D203" s="69"/>
    </row>
    <row r="204" spans="2:4">
      <c r="B204" s="68"/>
      <c r="C204" s="69" t="str">
        <f>IFERROR(VLOOKUP(B204,Roster!$A$2:$B$5000,2,FALSE),"-")</f>
        <v>-</v>
      </c>
      <c r="D204" s="69"/>
    </row>
    <row r="205" spans="2:4">
      <c r="B205" s="68"/>
      <c r="C205" s="69" t="str">
        <f>IFERROR(VLOOKUP(B205,Roster!$A$2:$B$5000,2,FALSE),"-")</f>
        <v>-</v>
      </c>
      <c r="D205" s="69"/>
    </row>
    <row r="206" spans="2:4">
      <c r="B206" s="68"/>
      <c r="C206" s="69" t="str">
        <f>IFERROR(VLOOKUP(B206,Roster!$A$2:$B$5000,2,FALSE),"-")</f>
        <v>-</v>
      </c>
      <c r="D206" s="69"/>
    </row>
    <row r="207" spans="2:4">
      <c r="B207" s="68"/>
      <c r="C207" s="69" t="str">
        <f>IFERROR(VLOOKUP(B207,Roster!$A$2:$B$5000,2,FALSE),"-")</f>
        <v>-</v>
      </c>
      <c r="D207" s="69"/>
    </row>
    <row r="208" spans="2:4">
      <c r="B208" s="68"/>
      <c r="C208" s="69" t="str">
        <f>IFERROR(VLOOKUP(B208,Roster!$A$2:$B$5000,2,FALSE),"-")</f>
        <v>-</v>
      </c>
      <c r="D208" s="69"/>
    </row>
    <row r="209" spans="2:4">
      <c r="B209" s="68"/>
      <c r="C209" s="69" t="str">
        <f>IFERROR(VLOOKUP(B209,Roster!$A$2:$B$5000,2,FALSE),"-")</f>
        <v>-</v>
      </c>
      <c r="D209" s="69"/>
    </row>
    <row r="210" spans="2:4">
      <c r="B210" s="68"/>
      <c r="C210" s="69" t="str">
        <f>IFERROR(VLOOKUP(B210,Roster!$A$2:$B$5000,2,FALSE),"-")</f>
        <v>-</v>
      </c>
      <c r="D210" s="69"/>
    </row>
    <row r="211" spans="2:4">
      <c r="B211" s="68"/>
      <c r="C211" s="69" t="str">
        <f>IFERROR(VLOOKUP(B211,Roster!$A$2:$B$5000,2,FALSE),"-")</f>
        <v>-</v>
      </c>
      <c r="D211" s="69"/>
    </row>
    <row r="212" spans="2:4">
      <c r="B212" s="68"/>
      <c r="C212" s="69" t="str">
        <f>IFERROR(VLOOKUP(B212,Roster!$A$2:$B$5000,2,FALSE),"-")</f>
        <v>-</v>
      </c>
      <c r="D212" s="69"/>
    </row>
    <row r="213" spans="2:4">
      <c r="B213" s="68"/>
      <c r="C213" s="69" t="str">
        <f>IFERROR(VLOOKUP(B213,Roster!$A$2:$B$5000,2,FALSE),"-")</f>
        <v>-</v>
      </c>
      <c r="D213" s="69"/>
    </row>
    <row r="214" spans="2:4">
      <c r="B214" s="68"/>
      <c r="C214" s="69" t="str">
        <f>IFERROR(VLOOKUP(B214,Roster!$A$2:$B$5000,2,FALSE),"-")</f>
        <v>-</v>
      </c>
      <c r="D214" s="69"/>
    </row>
    <row r="215" spans="2:4">
      <c r="B215" s="68"/>
      <c r="C215" s="69" t="str">
        <f>IFERROR(VLOOKUP(B215,Roster!$A$2:$B$5000,2,FALSE),"-")</f>
        <v>-</v>
      </c>
      <c r="D215" s="69"/>
    </row>
    <row r="216" spans="2:4">
      <c r="B216" s="68"/>
      <c r="C216" s="69" t="str">
        <f>IFERROR(VLOOKUP(B216,Roster!$A$2:$B$5000,2,FALSE),"-")</f>
        <v>-</v>
      </c>
      <c r="D216" s="69"/>
    </row>
    <row r="217" spans="2:4">
      <c r="B217" s="68"/>
      <c r="C217" s="69" t="str">
        <f>IFERROR(VLOOKUP(B217,Roster!$A$2:$B$5000,2,FALSE),"-")</f>
        <v>-</v>
      </c>
      <c r="D217" s="69"/>
    </row>
    <row r="218" spans="2:4">
      <c r="B218" s="68"/>
      <c r="C218" s="69" t="str">
        <f>IFERROR(VLOOKUP(B218,Roster!$A$2:$B$5000,2,FALSE),"-")</f>
        <v>-</v>
      </c>
      <c r="D218" s="69"/>
    </row>
    <row r="219" spans="2:4">
      <c r="B219" s="68"/>
      <c r="C219" s="69" t="str">
        <f>IFERROR(VLOOKUP(B219,Roster!$A$2:$B$5000,2,FALSE),"-")</f>
        <v>-</v>
      </c>
      <c r="D219" s="69"/>
    </row>
    <row r="220" spans="2:4">
      <c r="B220" s="68"/>
      <c r="C220" s="69" t="str">
        <f>IFERROR(VLOOKUP(B220,Roster!$A$2:$B$5000,2,FALSE),"-")</f>
        <v>-</v>
      </c>
      <c r="D220" s="69"/>
    </row>
    <row r="221" spans="2:4">
      <c r="B221" s="68"/>
      <c r="C221" s="69" t="str">
        <f>IFERROR(VLOOKUP(B221,Roster!$A$2:$B$5000,2,FALSE),"-")</f>
        <v>-</v>
      </c>
      <c r="D221" s="69"/>
    </row>
    <row r="222" spans="2:4">
      <c r="B222" s="68"/>
      <c r="C222" s="69" t="str">
        <f>IFERROR(VLOOKUP(B222,Roster!$A$2:$B$5000,2,FALSE),"-")</f>
        <v>-</v>
      </c>
      <c r="D222" s="69"/>
    </row>
    <row r="223" spans="2:4">
      <c r="B223" s="68"/>
      <c r="C223" s="69" t="str">
        <f>IFERROR(VLOOKUP(B223,Roster!$A$2:$B$5000,2,FALSE),"-")</f>
        <v>-</v>
      </c>
      <c r="D223" s="69"/>
    </row>
    <row r="224" spans="2:4">
      <c r="B224" s="68"/>
      <c r="C224" s="69" t="str">
        <f>IFERROR(VLOOKUP(B224,Roster!$A$2:$B$5000,2,FALSE),"-")</f>
        <v>-</v>
      </c>
      <c r="D224" s="69"/>
    </row>
    <row r="225" spans="2:4">
      <c r="B225" s="68"/>
      <c r="C225" s="69" t="str">
        <f>IFERROR(VLOOKUP(B225,Roster!$A$2:$B$5000,2,FALSE),"-")</f>
        <v>-</v>
      </c>
      <c r="D225" s="69"/>
    </row>
    <row r="226" spans="2:4">
      <c r="B226" s="68"/>
      <c r="C226" s="69" t="str">
        <f>IFERROR(VLOOKUP(B226,Roster!$A$2:$B$5000,2,FALSE),"-")</f>
        <v>-</v>
      </c>
      <c r="D226" s="69"/>
    </row>
    <row r="227" spans="2:4">
      <c r="B227" s="68"/>
      <c r="C227" s="69" t="str">
        <f>IFERROR(VLOOKUP(B227,Roster!$A$2:$B$5000,2,FALSE),"-")</f>
        <v>-</v>
      </c>
      <c r="D227" s="69"/>
    </row>
    <row r="228" spans="2:4">
      <c r="B228" s="68"/>
      <c r="C228" s="69" t="str">
        <f>IFERROR(VLOOKUP(B228,Roster!$A$2:$B$5000,2,FALSE),"-")</f>
        <v>-</v>
      </c>
      <c r="D228" s="69"/>
    </row>
    <row r="229" spans="2:4">
      <c r="B229" s="68"/>
      <c r="C229" s="69" t="str">
        <f>IFERROR(VLOOKUP(B229,Roster!$A$2:$B$5000,2,FALSE),"-")</f>
        <v>-</v>
      </c>
      <c r="D229" s="69"/>
    </row>
    <row r="230" spans="2:4">
      <c r="B230" s="68"/>
      <c r="C230" s="69" t="str">
        <f>IFERROR(VLOOKUP(B230,Roster!$A$2:$B$5000,2,FALSE),"-")</f>
        <v>-</v>
      </c>
      <c r="D230" s="69"/>
    </row>
    <row r="231" spans="2:4">
      <c r="B231" s="68"/>
      <c r="C231" s="69" t="str">
        <f>IFERROR(VLOOKUP(B231,Roster!$A$2:$B$5000,2,FALSE),"-")</f>
        <v>-</v>
      </c>
      <c r="D231" s="69"/>
    </row>
    <row r="232" spans="2:4">
      <c r="B232" s="68"/>
      <c r="C232" s="69" t="str">
        <f>IFERROR(VLOOKUP(B232,Roster!$A$2:$B$5000,2,FALSE),"-")</f>
        <v>-</v>
      </c>
      <c r="D232" s="69"/>
    </row>
    <row r="233" spans="2:4">
      <c r="B233" s="68"/>
      <c r="C233" s="69" t="str">
        <f>IFERROR(VLOOKUP(B233,Roster!$A$2:$B$5000,2,FALSE),"-")</f>
        <v>-</v>
      </c>
      <c r="D233" s="69"/>
    </row>
    <row r="234" spans="2:4">
      <c r="B234" s="68"/>
      <c r="C234" s="69" t="str">
        <f>IFERROR(VLOOKUP(B234,Roster!$A$2:$B$5000,2,FALSE),"-")</f>
        <v>-</v>
      </c>
      <c r="D234" s="69"/>
    </row>
    <row r="235" spans="2:4">
      <c r="B235" s="68"/>
      <c r="C235" s="69" t="str">
        <f>IFERROR(VLOOKUP(B235,Roster!$A$2:$B$5000,2,FALSE),"-")</f>
        <v>-</v>
      </c>
      <c r="D235" s="69"/>
    </row>
    <row r="236" spans="2:4">
      <c r="B236" s="68"/>
      <c r="C236" s="69" t="str">
        <f>IFERROR(VLOOKUP(B236,Roster!$A$2:$B$5000,2,FALSE),"-")</f>
        <v>-</v>
      </c>
      <c r="D236" s="69"/>
    </row>
    <row r="237" spans="2:4">
      <c r="B237" s="68"/>
      <c r="C237" s="69" t="str">
        <f>IFERROR(VLOOKUP(B237,Roster!$A$2:$B$5000,2,FALSE),"-")</f>
        <v>-</v>
      </c>
      <c r="D237" s="69"/>
    </row>
    <row r="238" spans="2:4">
      <c r="B238" s="68"/>
      <c r="C238" s="69" t="str">
        <f>IFERROR(VLOOKUP(B238,Roster!$A$2:$B$5000,2,FALSE),"-")</f>
        <v>-</v>
      </c>
      <c r="D238" s="69"/>
    </row>
    <row r="239" spans="2:4">
      <c r="B239" s="68"/>
      <c r="C239" s="69" t="str">
        <f>IFERROR(VLOOKUP(B239,Roster!$A$2:$B$5000,2,FALSE),"-")</f>
        <v>-</v>
      </c>
      <c r="D239" s="69"/>
    </row>
    <row r="240" spans="2:4">
      <c r="B240" s="68"/>
      <c r="C240" s="69" t="str">
        <f>IFERROR(VLOOKUP(B240,Roster!$A$2:$B$5000,2,FALSE),"-")</f>
        <v>-</v>
      </c>
      <c r="D240" s="69"/>
    </row>
    <row r="241" spans="2:4">
      <c r="B241" s="68"/>
      <c r="C241" s="69" t="str">
        <f>IFERROR(VLOOKUP(B241,Roster!$A$2:$B$5000,2,FALSE),"-")</f>
        <v>-</v>
      </c>
      <c r="D241" s="69"/>
    </row>
    <row r="242" spans="2:4">
      <c r="B242" s="68"/>
      <c r="C242" s="69" t="str">
        <f>IFERROR(VLOOKUP(B242,Roster!$A$2:$B$5000,2,FALSE),"-")</f>
        <v>-</v>
      </c>
      <c r="D242" s="69"/>
    </row>
    <row r="243" spans="2:4">
      <c r="B243" s="68"/>
      <c r="C243" s="69" t="str">
        <f>IFERROR(VLOOKUP(B243,Roster!$A$2:$B$5000,2,FALSE),"-")</f>
        <v>-</v>
      </c>
      <c r="D243" s="69"/>
    </row>
    <row r="244" spans="2:4">
      <c r="B244" s="68"/>
      <c r="C244" s="69" t="str">
        <f>IFERROR(VLOOKUP(B244,Roster!$A$2:$B$5000,2,FALSE),"-")</f>
        <v>-</v>
      </c>
      <c r="D244" s="69"/>
    </row>
    <row r="245" spans="2:4">
      <c r="B245" s="68"/>
      <c r="C245" s="69" t="str">
        <f>IFERROR(VLOOKUP(B245,Roster!$A$2:$B$5000,2,FALSE),"-")</f>
        <v>-</v>
      </c>
      <c r="D245" s="69"/>
    </row>
    <row r="246" spans="2:4">
      <c r="B246" s="68"/>
      <c r="C246" s="69" t="str">
        <f>IFERROR(VLOOKUP(B246,Roster!$A$2:$B$5000,2,FALSE),"-")</f>
        <v>-</v>
      </c>
      <c r="D246" s="69"/>
    </row>
    <row r="247" spans="2:4">
      <c r="B247" s="68"/>
      <c r="C247" s="69" t="str">
        <f>IFERROR(VLOOKUP(B247,Roster!$A$2:$B$5000,2,FALSE),"-")</f>
        <v>-</v>
      </c>
      <c r="D247" s="69"/>
    </row>
    <row r="248" spans="2:4">
      <c r="B248" s="68"/>
      <c r="C248" s="69" t="str">
        <f>IFERROR(VLOOKUP(B248,Roster!$A$2:$B$5000,2,FALSE),"-")</f>
        <v>-</v>
      </c>
      <c r="D248" s="69"/>
    </row>
    <row r="249" spans="2:4">
      <c r="B249" s="68"/>
      <c r="C249" s="69" t="str">
        <f>IFERROR(VLOOKUP(B249,Roster!$A$2:$B$5000,2,FALSE),"-")</f>
        <v>-</v>
      </c>
      <c r="D249" s="69"/>
    </row>
    <row r="250" spans="2:4">
      <c r="B250" s="68"/>
      <c r="C250" s="69" t="str">
        <f>IFERROR(VLOOKUP(B250,Roster!$A$2:$B$5000,2,FALSE),"-")</f>
        <v>-</v>
      </c>
      <c r="D250" s="69"/>
    </row>
    <row r="251" spans="2:4">
      <c r="B251" s="68"/>
      <c r="C251" s="69" t="str">
        <f>IFERROR(VLOOKUP(B251,Roster!$A$2:$B$5000,2,FALSE),"-")</f>
        <v>-</v>
      </c>
      <c r="D251" s="69"/>
    </row>
    <row r="252" spans="2:4">
      <c r="B252" s="68"/>
      <c r="C252" s="69" t="str">
        <f>IFERROR(VLOOKUP(B252,Roster!$A$2:$B$5000,2,FALSE),"-")</f>
        <v>-</v>
      </c>
      <c r="D252" s="69"/>
    </row>
    <row r="253" spans="2:4">
      <c r="B253" s="68"/>
      <c r="C253" s="69" t="str">
        <f>IFERROR(VLOOKUP(B253,Roster!$A$2:$B$5000,2,FALSE),"-")</f>
        <v>-</v>
      </c>
      <c r="D253" s="69"/>
    </row>
    <row r="254" spans="2:4">
      <c r="B254" s="68"/>
      <c r="C254" s="69" t="str">
        <f>IFERROR(VLOOKUP(B254,Roster!$A$2:$B$5000,2,FALSE),"-")</f>
        <v>-</v>
      </c>
      <c r="D254" s="69"/>
    </row>
    <row r="255" spans="2:4">
      <c r="B255" s="68"/>
      <c r="C255" s="69" t="str">
        <f>IFERROR(VLOOKUP(B255,Roster!$A$2:$B$5000,2,FALSE),"-")</f>
        <v>-</v>
      </c>
      <c r="D255" s="69"/>
    </row>
    <row r="256" spans="2:4">
      <c r="B256" s="68"/>
      <c r="C256" s="69" t="str">
        <f>IFERROR(VLOOKUP(B256,Roster!$A$2:$B$5000,2,FALSE),"-")</f>
        <v>-</v>
      </c>
      <c r="D256" s="69"/>
    </row>
    <row r="257" spans="2:4">
      <c r="B257" s="68"/>
      <c r="C257" s="69" t="str">
        <f>IFERROR(VLOOKUP(B257,Roster!$A$2:$B$5000,2,FALSE),"-")</f>
        <v>-</v>
      </c>
      <c r="D257" s="69"/>
    </row>
    <row r="258" spans="2:4">
      <c r="B258" s="68"/>
      <c r="C258" s="69" t="str">
        <f>IFERROR(VLOOKUP(B258,Roster!$A$2:$B$5000,2,FALSE),"-")</f>
        <v>-</v>
      </c>
      <c r="D258" s="69"/>
    </row>
    <row r="259" spans="2:4">
      <c r="B259" s="68"/>
      <c r="C259" s="69" t="str">
        <f>IFERROR(VLOOKUP(B259,Roster!$A$2:$B$5000,2,FALSE),"-")</f>
        <v>-</v>
      </c>
      <c r="D259" s="69"/>
    </row>
    <row r="260" spans="2:4">
      <c r="B260" s="68"/>
      <c r="C260" s="69" t="str">
        <f>IFERROR(VLOOKUP(B260,Roster!$A$2:$B$5000,2,FALSE),"-")</f>
        <v>-</v>
      </c>
      <c r="D260" s="69"/>
    </row>
    <row r="261" spans="2:4">
      <c r="B261" s="68"/>
      <c r="C261" s="69" t="str">
        <f>IFERROR(VLOOKUP(B261,Roster!$A$2:$B$5000,2,FALSE),"-")</f>
        <v>-</v>
      </c>
      <c r="D261" s="69"/>
    </row>
    <row r="262" spans="2:4">
      <c r="B262" s="68"/>
      <c r="C262" s="69" t="str">
        <f>IFERROR(VLOOKUP(B262,Roster!$A$2:$B$5000,2,FALSE),"-")</f>
        <v>-</v>
      </c>
      <c r="D262" s="69"/>
    </row>
    <row r="263" spans="2:4">
      <c r="B263" s="68"/>
      <c r="C263" s="69" t="str">
        <f>IFERROR(VLOOKUP(B263,Roster!$A$2:$B$5000,2,FALSE),"-")</f>
        <v>-</v>
      </c>
      <c r="D263" s="69"/>
    </row>
    <row r="264" spans="2:4">
      <c r="B264" s="68"/>
      <c r="C264" s="69" t="str">
        <f>IFERROR(VLOOKUP(B264,Roster!$A$2:$B$5000,2,FALSE),"-")</f>
        <v>-</v>
      </c>
      <c r="D264" s="69"/>
    </row>
    <row r="265" spans="2:4">
      <c r="B265" s="68"/>
      <c r="C265" s="69" t="str">
        <f>IFERROR(VLOOKUP(B265,Roster!$A$2:$B$5000,2,FALSE),"-")</f>
        <v>-</v>
      </c>
      <c r="D265" s="69"/>
    </row>
    <row r="266" spans="2:4">
      <c r="B266" s="68"/>
      <c r="C266" s="69" t="str">
        <f>IFERROR(VLOOKUP(B266,Roster!$A$2:$B$5000,2,FALSE),"-")</f>
        <v>-</v>
      </c>
      <c r="D266" s="69"/>
    </row>
    <row r="267" spans="2:4">
      <c r="B267" s="68"/>
      <c r="C267" s="69" t="str">
        <f>IFERROR(VLOOKUP(B267,Roster!$A$2:$B$5000,2,FALSE),"-")</f>
        <v>-</v>
      </c>
      <c r="D267" s="69"/>
    </row>
    <row r="268" spans="2:4">
      <c r="B268" s="68"/>
      <c r="C268" s="69" t="str">
        <f>IFERROR(VLOOKUP(B268,Roster!$A$2:$B$5000,2,FALSE),"-")</f>
        <v>-</v>
      </c>
      <c r="D268" s="69"/>
    </row>
    <row r="269" spans="2:4">
      <c r="B269" s="68"/>
      <c r="C269" s="69" t="str">
        <f>IFERROR(VLOOKUP(B269,Roster!$A$2:$B$5000,2,FALSE),"-")</f>
        <v>-</v>
      </c>
      <c r="D269" s="69"/>
    </row>
    <row r="270" spans="2:4">
      <c r="B270" s="68"/>
      <c r="C270" s="69" t="str">
        <f>IFERROR(VLOOKUP(B270,Roster!$A$2:$B$5000,2,FALSE),"-")</f>
        <v>-</v>
      </c>
      <c r="D270" s="69"/>
    </row>
    <row r="271" spans="2:4">
      <c r="B271" s="68"/>
      <c r="C271" s="69" t="str">
        <f>IFERROR(VLOOKUP(B271,Roster!$A$2:$B$5000,2,FALSE),"-")</f>
        <v>-</v>
      </c>
      <c r="D271" s="69"/>
    </row>
    <row r="272" spans="2:4">
      <c r="B272" s="68"/>
      <c r="C272" s="69" t="str">
        <f>IFERROR(VLOOKUP(B272,Roster!$A$2:$B$5000,2,FALSE),"-")</f>
        <v>-</v>
      </c>
      <c r="D272" s="69"/>
    </row>
    <row r="273" spans="2:4">
      <c r="B273" s="68"/>
      <c r="C273" s="69" t="str">
        <f>IFERROR(VLOOKUP(B273,Roster!$A$2:$B$5000,2,FALSE),"-")</f>
        <v>-</v>
      </c>
      <c r="D273" s="69"/>
    </row>
    <row r="274" spans="2:4">
      <c r="B274" s="68"/>
      <c r="C274" s="69" t="str">
        <f>IFERROR(VLOOKUP(B274,Roster!$A$2:$B$5000,2,FALSE),"-")</f>
        <v>-</v>
      </c>
      <c r="D274" s="69"/>
    </row>
    <row r="275" spans="2:4">
      <c r="B275" s="68"/>
      <c r="C275" s="69" t="str">
        <f>IFERROR(VLOOKUP(B275,Roster!$A$2:$B$5000,2,FALSE),"-")</f>
        <v>-</v>
      </c>
      <c r="D275" s="69"/>
    </row>
    <row r="276" spans="2:4">
      <c r="B276" s="68"/>
      <c r="C276" s="69" t="str">
        <f>IFERROR(VLOOKUP(B276,Roster!$A$2:$B$5000,2,FALSE),"-")</f>
        <v>-</v>
      </c>
      <c r="D276" s="69"/>
    </row>
    <row r="277" spans="2:4">
      <c r="B277" s="68"/>
      <c r="C277" s="69" t="str">
        <f>IFERROR(VLOOKUP(B277,Roster!$A$2:$B$5000,2,FALSE),"-")</f>
        <v>-</v>
      </c>
      <c r="D277" s="69"/>
    </row>
    <row r="278" spans="2:4">
      <c r="B278" s="68"/>
      <c r="C278" s="69" t="str">
        <f>IFERROR(VLOOKUP(B278,Roster!$A$2:$B$5000,2,FALSE),"-")</f>
        <v>-</v>
      </c>
      <c r="D278" s="69"/>
    </row>
    <row r="279" spans="2:4">
      <c r="B279" s="68"/>
      <c r="C279" s="69" t="str">
        <f>IFERROR(VLOOKUP(B279,Roster!$A$2:$B$5000,2,FALSE),"-")</f>
        <v>-</v>
      </c>
      <c r="D279" s="69"/>
    </row>
    <row r="280" spans="2:4">
      <c r="B280" s="68"/>
      <c r="C280" s="69" t="str">
        <f>IFERROR(VLOOKUP(B280,Roster!$A$2:$B$5000,2,FALSE),"-")</f>
        <v>-</v>
      </c>
      <c r="D280" s="69"/>
    </row>
    <row r="281" spans="2:4">
      <c r="B281" s="68"/>
      <c r="C281" s="69" t="str">
        <f>IFERROR(VLOOKUP(B281,Roster!$A$2:$B$5000,2,FALSE),"-")</f>
        <v>-</v>
      </c>
      <c r="D281" s="69"/>
    </row>
    <row r="282" spans="2:4">
      <c r="B282" s="68"/>
      <c r="C282" s="69" t="str">
        <f>IFERROR(VLOOKUP(B282,Roster!$A$2:$B$5000,2,FALSE),"-")</f>
        <v>-</v>
      </c>
      <c r="D282" s="69"/>
    </row>
    <row r="283" spans="2:4">
      <c r="B283" s="68"/>
      <c r="C283" s="69" t="str">
        <f>IFERROR(VLOOKUP(B283,Roster!$A$2:$B$5000,2,FALSE),"-")</f>
        <v>-</v>
      </c>
      <c r="D283" s="69"/>
    </row>
    <row r="284" spans="2:4">
      <c r="B284" s="68"/>
      <c r="C284" s="69" t="str">
        <f>IFERROR(VLOOKUP(B284,Roster!$A$2:$B$5000,2,FALSE),"-")</f>
        <v>-</v>
      </c>
      <c r="D284" s="69"/>
    </row>
    <row r="285" spans="2:4">
      <c r="B285" s="68"/>
      <c r="C285" s="69" t="str">
        <f>IFERROR(VLOOKUP(B285,Roster!$A$2:$B$5000,2,FALSE),"-")</f>
        <v>-</v>
      </c>
      <c r="D285" s="69"/>
    </row>
    <row r="286" spans="2:4">
      <c r="B286" s="68"/>
      <c r="C286" s="69" t="str">
        <f>IFERROR(VLOOKUP(B286,Roster!$A$2:$B$5000,2,FALSE),"-")</f>
        <v>-</v>
      </c>
      <c r="D286" s="69"/>
    </row>
    <row r="287" spans="2:4">
      <c r="B287" s="68"/>
      <c r="C287" s="69" t="str">
        <f>IFERROR(VLOOKUP(B287,Roster!$A$2:$B$5000,2,FALSE),"-")</f>
        <v>-</v>
      </c>
      <c r="D287" s="69"/>
    </row>
    <row r="288" spans="2:4">
      <c r="B288" s="68"/>
      <c r="C288" s="69" t="str">
        <f>IFERROR(VLOOKUP(B288,Roster!$A$2:$B$5000,2,FALSE),"-")</f>
        <v>-</v>
      </c>
      <c r="D288" s="69"/>
    </row>
    <row r="289" spans="2:4">
      <c r="B289" s="68"/>
      <c r="C289" s="69" t="str">
        <f>IFERROR(VLOOKUP(B289,Roster!$A$2:$B$5000,2,FALSE),"-")</f>
        <v>-</v>
      </c>
      <c r="D289" s="69"/>
    </row>
    <row r="290" spans="2:4">
      <c r="B290" s="68"/>
      <c r="C290" s="69" t="str">
        <f>IFERROR(VLOOKUP(B290,Roster!$A$2:$B$5000,2,FALSE),"-")</f>
        <v>-</v>
      </c>
      <c r="D290" s="69"/>
    </row>
    <row r="291" spans="2:4">
      <c r="B291" s="68"/>
      <c r="C291" s="69" t="str">
        <f>IFERROR(VLOOKUP(B291,Roster!$A$2:$B$5000,2,FALSE),"-")</f>
        <v>-</v>
      </c>
      <c r="D291" s="69"/>
    </row>
    <row r="292" spans="2:4">
      <c r="B292" s="68"/>
      <c r="C292" s="69" t="str">
        <f>IFERROR(VLOOKUP(B292,Roster!$A$2:$B$5000,2,FALSE),"-")</f>
        <v>-</v>
      </c>
      <c r="D292" s="69"/>
    </row>
    <row r="293" spans="2:4">
      <c r="B293" s="68"/>
      <c r="C293" s="69" t="str">
        <f>IFERROR(VLOOKUP(B293,Roster!$A$2:$B$5000,2,FALSE),"-")</f>
        <v>-</v>
      </c>
      <c r="D293" s="69"/>
    </row>
    <row r="294" spans="2:4">
      <c r="B294" s="68"/>
      <c r="C294" s="69" t="str">
        <f>IFERROR(VLOOKUP(B294,Roster!$A$2:$B$5000,2,FALSE),"-")</f>
        <v>-</v>
      </c>
      <c r="D294" s="69"/>
    </row>
    <row r="295" spans="2:4">
      <c r="B295" s="68"/>
      <c r="C295" s="69" t="str">
        <f>IFERROR(VLOOKUP(B295,Roster!$A$2:$B$5000,2,FALSE),"-")</f>
        <v>-</v>
      </c>
      <c r="D295" s="69"/>
    </row>
    <row r="296" spans="2:4">
      <c r="B296" s="68"/>
      <c r="C296" s="69" t="str">
        <f>IFERROR(VLOOKUP(B296,Roster!$A$2:$B$5000,2,FALSE),"-")</f>
        <v>-</v>
      </c>
      <c r="D296" s="69"/>
    </row>
    <row r="297" spans="2:4">
      <c r="B297" s="68"/>
      <c r="C297" s="69" t="str">
        <f>IFERROR(VLOOKUP(B297,Roster!$A$2:$B$5000,2,FALSE),"-")</f>
        <v>-</v>
      </c>
      <c r="D297" s="69"/>
    </row>
    <row r="298" spans="2:4">
      <c r="B298" s="68"/>
      <c r="C298" s="69" t="str">
        <f>IFERROR(VLOOKUP(B298,Roster!$A$2:$B$5000,2,FALSE),"-")</f>
        <v>-</v>
      </c>
      <c r="D298" s="69"/>
    </row>
    <row r="299" spans="2:4">
      <c r="B299" s="68"/>
      <c r="C299" s="69" t="str">
        <f>IFERROR(VLOOKUP(B299,Roster!$A$2:$B$5000,2,FALSE),"-")</f>
        <v>-</v>
      </c>
      <c r="D299" s="69"/>
    </row>
    <row r="300" spans="2:4">
      <c r="B300" s="68"/>
      <c r="C300" s="69" t="str">
        <f>IFERROR(VLOOKUP(B300,Roster!$A$2:$B$5000,2,FALSE),"-")</f>
        <v>-</v>
      </c>
      <c r="D300" s="69"/>
    </row>
    <row r="301" spans="2:4">
      <c r="B301" s="68"/>
      <c r="C301" s="69" t="str">
        <f>IFERROR(VLOOKUP(B301,Roster!$A$2:$B$5000,2,FALSE),"-")</f>
        <v>-</v>
      </c>
      <c r="D301" s="69"/>
    </row>
    <row r="302" spans="2:4">
      <c r="B302" s="68"/>
      <c r="C302" s="69" t="str">
        <f>IFERROR(VLOOKUP(B302,Roster!$A$2:$B$5000,2,FALSE),"-")</f>
        <v>-</v>
      </c>
      <c r="D302" s="69"/>
    </row>
    <row r="303" spans="2:4">
      <c r="B303" s="68"/>
      <c r="C303" s="69" t="str">
        <f>IFERROR(VLOOKUP(B303,Roster!$A$2:$B$5000,2,FALSE),"-")</f>
        <v>-</v>
      </c>
      <c r="D303" s="69"/>
    </row>
    <row r="304" spans="2:4">
      <c r="B304" s="68"/>
      <c r="C304" s="69" t="str">
        <f>IFERROR(VLOOKUP(B304,Roster!$A$2:$B$5000,2,FALSE),"-")</f>
        <v>-</v>
      </c>
      <c r="D304" s="69"/>
    </row>
    <row r="305" spans="2:4">
      <c r="B305" s="68"/>
      <c r="C305" s="69" t="str">
        <f>IFERROR(VLOOKUP(B305,Roster!$A$2:$B$5000,2,FALSE),"-")</f>
        <v>-</v>
      </c>
      <c r="D305" s="69"/>
    </row>
    <row r="306" spans="2:4">
      <c r="B306" s="68"/>
      <c r="C306" s="69" t="str">
        <f>IFERROR(VLOOKUP(B306,Roster!$A$2:$B$5000,2,FALSE),"-")</f>
        <v>-</v>
      </c>
      <c r="D306" s="69"/>
    </row>
    <row r="307" spans="2:4">
      <c r="B307" s="68"/>
      <c r="C307" s="69" t="str">
        <f>IFERROR(VLOOKUP(B307,Roster!$A$2:$B$5000,2,FALSE),"-")</f>
        <v>-</v>
      </c>
      <c r="D307" s="69"/>
    </row>
    <row r="308" spans="2:4">
      <c r="B308" s="68"/>
      <c r="C308" s="69" t="str">
        <f>IFERROR(VLOOKUP(B308,Roster!$A$2:$B$5000,2,FALSE),"-")</f>
        <v>-</v>
      </c>
      <c r="D308" s="69"/>
    </row>
    <row r="309" spans="2:4">
      <c r="B309" s="68"/>
      <c r="C309" s="69" t="str">
        <f>IFERROR(VLOOKUP(B309,Roster!$A$2:$B$5000,2,FALSE),"-")</f>
        <v>-</v>
      </c>
      <c r="D309" s="69"/>
    </row>
    <row r="310" spans="2:4">
      <c r="B310" s="68"/>
      <c r="C310" s="69" t="str">
        <f>IFERROR(VLOOKUP(B310,Roster!$A$2:$B$5000,2,FALSE),"-")</f>
        <v>-</v>
      </c>
      <c r="D310" s="69"/>
    </row>
    <row r="311" spans="2:4">
      <c r="B311" s="68"/>
      <c r="C311" s="69" t="str">
        <f>IFERROR(VLOOKUP(B311,Roster!$A$2:$B$5000,2,FALSE),"-")</f>
        <v>-</v>
      </c>
      <c r="D311" s="69"/>
    </row>
    <row r="312" spans="2:4">
      <c r="B312" s="68"/>
      <c r="C312" s="69" t="str">
        <f>IFERROR(VLOOKUP(B312,Roster!$A$2:$B$5000,2,FALSE),"-")</f>
        <v>-</v>
      </c>
      <c r="D312" s="69"/>
    </row>
    <row r="313" spans="2:4">
      <c r="B313" s="68"/>
      <c r="C313" s="69" t="str">
        <f>IFERROR(VLOOKUP(B313,Roster!$A$2:$B$5000,2,FALSE),"-")</f>
        <v>-</v>
      </c>
      <c r="D313" s="69"/>
    </row>
    <row r="314" spans="2:4">
      <c r="B314" s="68"/>
      <c r="C314" s="69" t="str">
        <f>IFERROR(VLOOKUP(B314,Roster!$A$2:$B$5000,2,FALSE),"-")</f>
        <v>-</v>
      </c>
      <c r="D314" s="69"/>
    </row>
    <row r="315" spans="2:4">
      <c r="B315" s="68"/>
      <c r="C315" s="69" t="str">
        <f>IFERROR(VLOOKUP(B315,Roster!$A$2:$B$5000,2,FALSE),"-")</f>
        <v>-</v>
      </c>
      <c r="D315" s="69"/>
    </row>
    <row r="316" spans="2:4">
      <c r="B316" s="68"/>
      <c r="C316" s="69" t="str">
        <f>IFERROR(VLOOKUP(B316,Roster!$A$2:$B$5000,2,FALSE),"-")</f>
        <v>-</v>
      </c>
      <c r="D316" s="69"/>
    </row>
    <row r="317" spans="2:4">
      <c r="B317" s="68"/>
      <c r="C317" s="69" t="str">
        <f>IFERROR(VLOOKUP(B317,Roster!$A$2:$B$5000,2,FALSE),"-")</f>
        <v>-</v>
      </c>
      <c r="D317" s="69"/>
    </row>
    <row r="318" spans="2:4">
      <c r="B318" s="68"/>
      <c r="C318" s="69" t="str">
        <f>IFERROR(VLOOKUP(B318,Roster!$A$2:$B$5000,2,FALSE),"-")</f>
        <v>-</v>
      </c>
      <c r="D318" s="69"/>
    </row>
    <row r="319" spans="2:4">
      <c r="B319" s="68"/>
      <c r="C319" s="69" t="str">
        <f>IFERROR(VLOOKUP(B319,Roster!$A$2:$B$5000,2,FALSE),"-")</f>
        <v>-</v>
      </c>
      <c r="D319" s="69"/>
    </row>
    <row r="320" spans="2:4">
      <c r="B320" s="68"/>
      <c r="C320" s="69" t="str">
        <f>IFERROR(VLOOKUP(B320,Roster!$A$2:$B$5000,2,FALSE),"-")</f>
        <v>-</v>
      </c>
      <c r="D320" s="69"/>
    </row>
    <row r="321" spans="2:4">
      <c r="B321" s="68"/>
      <c r="C321" s="69" t="str">
        <f>IFERROR(VLOOKUP(B321,Roster!$A$2:$B$5000,2,FALSE),"-")</f>
        <v>-</v>
      </c>
      <c r="D321" s="69"/>
    </row>
    <row r="322" spans="2:4">
      <c r="B322" s="68"/>
      <c r="C322" s="69" t="str">
        <f>IFERROR(VLOOKUP(B322,Roster!$A$2:$B$5000,2,FALSE),"-")</f>
        <v>-</v>
      </c>
      <c r="D322" s="69"/>
    </row>
    <row r="323" spans="2:4">
      <c r="B323" s="68"/>
      <c r="C323" s="69" t="str">
        <f>IFERROR(VLOOKUP(B323,Roster!$A$2:$B$5000,2,FALSE),"-")</f>
        <v>-</v>
      </c>
      <c r="D323" s="69"/>
    </row>
    <row r="324" spans="2:4">
      <c r="B324" s="68"/>
      <c r="C324" s="69" t="str">
        <f>IFERROR(VLOOKUP(B324,Roster!$A$2:$B$5000,2,FALSE),"-")</f>
        <v>-</v>
      </c>
      <c r="D324" s="69"/>
    </row>
    <row r="325" spans="2:4">
      <c r="B325" s="68"/>
      <c r="C325" s="69" t="str">
        <f>IFERROR(VLOOKUP(B325,Roster!$A$2:$B$5000,2,FALSE),"-")</f>
        <v>-</v>
      </c>
      <c r="D325" s="69"/>
    </row>
    <row r="326" spans="2:4">
      <c r="B326" s="68"/>
      <c r="C326" s="69" t="str">
        <f>IFERROR(VLOOKUP(B326,Roster!$A$2:$B$5000,2,FALSE),"-")</f>
        <v>-</v>
      </c>
      <c r="D326" s="69"/>
    </row>
    <row r="327" spans="2:4">
      <c r="B327" s="68"/>
      <c r="C327" s="69" t="str">
        <f>IFERROR(VLOOKUP(B327,Roster!$A$2:$B$5000,2,FALSE),"-")</f>
        <v>-</v>
      </c>
      <c r="D327" s="69"/>
    </row>
    <row r="328" spans="2:4">
      <c r="B328" s="68"/>
      <c r="C328" s="69" t="str">
        <f>IFERROR(VLOOKUP(B328,Roster!$A$2:$B$5000,2,FALSE),"-")</f>
        <v>-</v>
      </c>
      <c r="D328" s="69"/>
    </row>
    <row r="329" spans="2:4">
      <c r="B329" s="68"/>
      <c r="C329" s="69" t="str">
        <f>IFERROR(VLOOKUP(B329,Roster!$A$2:$B$5000,2,FALSE),"-")</f>
        <v>-</v>
      </c>
      <c r="D329" s="69"/>
    </row>
    <row r="330" spans="2:4">
      <c r="B330" s="68"/>
      <c r="C330" s="69" t="str">
        <f>IFERROR(VLOOKUP(B330,Roster!$A$2:$B$5000,2,FALSE),"-")</f>
        <v>-</v>
      </c>
      <c r="D330" s="69"/>
    </row>
    <row r="331" spans="2:4">
      <c r="B331" s="68"/>
      <c r="C331" s="69" t="str">
        <f>IFERROR(VLOOKUP(B331,Roster!$A$2:$B$5000,2,FALSE),"-")</f>
        <v>-</v>
      </c>
      <c r="D331" s="69"/>
    </row>
    <row r="332" spans="2:4">
      <c r="B332" s="68"/>
      <c r="C332" s="69" t="str">
        <f>IFERROR(VLOOKUP(B332,Roster!$A$2:$B$5000,2,FALSE),"-")</f>
        <v>-</v>
      </c>
      <c r="D332" s="69"/>
    </row>
    <row r="333" spans="2:4">
      <c r="B333" s="68"/>
      <c r="C333" s="69" t="str">
        <f>IFERROR(VLOOKUP(B333,Roster!$A$2:$B$5000,2,FALSE),"-")</f>
        <v>-</v>
      </c>
      <c r="D333" s="69"/>
    </row>
    <row r="334" spans="2:4">
      <c r="B334" s="68"/>
      <c r="C334" s="69" t="str">
        <f>IFERROR(VLOOKUP(B334,Roster!$A$2:$B$5000,2,FALSE),"-")</f>
        <v>-</v>
      </c>
      <c r="D334" s="69"/>
    </row>
    <row r="335" spans="2:4">
      <c r="B335" s="68"/>
      <c r="C335" s="69" t="str">
        <f>IFERROR(VLOOKUP(B335,Roster!$A$2:$B$5000,2,FALSE),"-")</f>
        <v>-</v>
      </c>
      <c r="D335" s="69"/>
    </row>
    <row r="336" spans="2:4">
      <c r="B336" s="68"/>
      <c r="C336" s="69" t="str">
        <f>IFERROR(VLOOKUP(B336,Roster!$A$2:$B$5000,2,FALSE),"-")</f>
        <v>-</v>
      </c>
      <c r="D336" s="69"/>
    </row>
    <row r="337" spans="2:4">
      <c r="B337" s="68"/>
      <c r="C337" s="69" t="str">
        <f>IFERROR(VLOOKUP(B337,Roster!$A$2:$B$5000,2,FALSE),"-")</f>
        <v>-</v>
      </c>
      <c r="D337" s="69"/>
    </row>
    <row r="338" spans="2:4">
      <c r="B338" s="68"/>
      <c r="C338" s="69" t="str">
        <f>IFERROR(VLOOKUP(B338,Roster!$A$2:$B$5000,2,FALSE),"-")</f>
        <v>-</v>
      </c>
      <c r="D338" s="69"/>
    </row>
    <row r="339" spans="2:4">
      <c r="B339" s="68"/>
      <c r="C339" s="69" t="str">
        <f>IFERROR(VLOOKUP(B339,Roster!$A$2:$B$5000,2,FALSE),"-")</f>
        <v>-</v>
      </c>
      <c r="D339" s="69"/>
    </row>
    <row r="340" spans="2:4">
      <c r="B340" s="68"/>
      <c r="C340" s="69" t="str">
        <f>IFERROR(VLOOKUP(B340,Roster!$A$2:$B$5000,2,FALSE),"-")</f>
        <v>-</v>
      </c>
      <c r="D340" s="69"/>
    </row>
    <row r="341" spans="2:4">
      <c r="B341" s="68"/>
      <c r="C341" s="69" t="str">
        <f>IFERROR(VLOOKUP(B341,Roster!$A$2:$B$5000,2,FALSE),"-")</f>
        <v>-</v>
      </c>
      <c r="D341" s="69"/>
    </row>
    <row r="342" spans="2:4">
      <c r="B342" s="68"/>
      <c r="C342" s="69" t="str">
        <f>IFERROR(VLOOKUP(B342,Roster!$A$2:$B$5000,2,FALSE),"-")</f>
        <v>-</v>
      </c>
      <c r="D342" s="69"/>
    </row>
    <row r="343" spans="2:4">
      <c r="B343" s="68"/>
      <c r="C343" s="69" t="str">
        <f>IFERROR(VLOOKUP(B343,Roster!$A$2:$B$5000,2,FALSE),"-")</f>
        <v>-</v>
      </c>
      <c r="D343" s="69"/>
    </row>
    <row r="344" spans="2:4">
      <c r="B344" s="68"/>
      <c r="C344" s="69" t="str">
        <f>IFERROR(VLOOKUP(B344,Roster!$A$2:$B$5000,2,FALSE),"-")</f>
        <v>-</v>
      </c>
      <c r="D344" s="69"/>
    </row>
    <row r="345" spans="2:4">
      <c r="B345" s="68"/>
      <c r="C345" s="69" t="str">
        <f>IFERROR(VLOOKUP(B345,Roster!$A$2:$B$5000,2,FALSE),"-")</f>
        <v>-</v>
      </c>
      <c r="D345" s="69"/>
    </row>
    <row r="346" spans="2:4">
      <c r="B346" s="68"/>
      <c r="C346" s="69" t="str">
        <f>IFERROR(VLOOKUP(B346,Roster!$A$2:$B$5000,2,FALSE),"-")</f>
        <v>-</v>
      </c>
      <c r="D346" s="69"/>
    </row>
    <row r="347" spans="2:4">
      <c r="B347" s="68"/>
      <c r="C347" s="69" t="str">
        <f>IFERROR(VLOOKUP(B347,Roster!$A$2:$B$5000,2,FALSE),"-")</f>
        <v>-</v>
      </c>
      <c r="D347" s="69"/>
    </row>
    <row r="348" spans="2:4">
      <c r="B348" s="68"/>
      <c r="C348" s="69" t="str">
        <f>IFERROR(VLOOKUP(B348,Roster!$A$2:$B$5000,2,FALSE),"-")</f>
        <v>-</v>
      </c>
      <c r="D348" s="69"/>
    </row>
    <row r="349" spans="2:4">
      <c r="B349" s="68"/>
      <c r="C349" s="69" t="str">
        <f>IFERROR(VLOOKUP(B349,Roster!$A$2:$B$5000,2,FALSE),"-")</f>
        <v>-</v>
      </c>
      <c r="D349" s="69"/>
    </row>
    <row r="350" spans="2:4">
      <c r="B350" s="68"/>
      <c r="C350" s="69" t="str">
        <f>IFERROR(VLOOKUP(B350,Roster!$A$2:$B$5000,2,FALSE),"-")</f>
        <v>-</v>
      </c>
      <c r="D350" s="69"/>
    </row>
    <row r="351" spans="2:4">
      <c r="B351" s="68"/>
      <c r="C351" s="69" t="str">
        <f>IFERROR(VLOOKUP(B351,Roster!$A$2:$B$5000,2,FALSE),"-")</f>
        <v>-</v>
      </c>
      <c r="D351" s="69"/>
    </row>
    <row r="352" spans="2:4">
      <c r="B352" s="68"/>
      <c r="C352" s="69" t="str">
        <f>IFERROR(VLOOKUP(B352,Roster!$A$2:$B$5000,2,FALSE),"-")</f>
        <v>-</v>
      </c>
      <c r="D352" s="69"/>
    </row>
    <row r="353" spans="2:4">
      <c r="B353" s="68"/>
      <c r="C353" s="69" t="str">
        <f>IFERROR(VLOOKUP(B353,Roster!$A$2:$B$5000,2,FALSE),"-")</f>
        <v>-</v>
      </c>
      <c r="D353" s="69"/>
    </row>
    <row r="354" spans="2:4">
      <c r="B354" s="68"/>
      <c r="C354" s="69" t="str">
        <f>IFERROR(VLOOKUP(B354,Roster!$A$2:$B$5000,2,FALSE),"-")</f>
        <v>-</v>
      </c>
      <c r="D354" s="69"/>
    </row>
    <row r="355" spans="2:4">
      <c r="B355" s="68"/>
      <c r="C355" s="69" t="str">
        <f>IFERROR(VLOOKUP(B355,Roster!$A$2:$B$5000,2,FALSE),"-")</f>
        <v>-</v>
      </c>
      <c r="D355" s="69"/>
    </row>
    <row r="356" spans="2:4">
      <c r="B356" s="68"/>
      <c r="C356" s="69" t="str">
        <f>IFERROR(VLOOKUP(B356,Roster!$A$2:$B$5000,2,FALSE),"-")</f>
        <v>-</v>
      </c>
      <c r="D356" s="69"/>
    </row>
    <row r="357" spans="2:4">
      <c r="B357" s="68"/>
      <c r="C357" s="69" t="str">
        <f>IFERROR(VLOOKUP(B357,Roster!$A$2:$B$5000,2,FALSE),"-")</f>
        <v>-</v>
      </c>
      <c r="D357" s="69"/>
    </row>
    <row r="358" spans="2:4">
      <c r="B358" s="68"/>
      <c r="C358" s="69" t="str">
        <f>IFERROR(VLOOKUP(B358,Roster!$A$2:$B$5000,2,FALSE),"-")</f>
        <v>-</v>
      </c>
      <c r="D358" s="69"/>
    </row>
    <row r="359" spans="2:4">
      <c r="B359" s="68"/>
      <c r="C359" s="69" t="str">
        <f>IFERROR(VLOOKUP(B359,Roster!$A$2:$B$5000,2,FALSE),"-")</f>
        <v>-</v>
      </c>
      <c r="D359" s="69"/>
    </row>
    <row r="360" spans="2:4">
      <c r="B360" s="68"/>
      <c r="C360" s="69" t="str">
        <f>IFERROR(VLOOKUP(B360,Roster!$A$2:$B$5000,2,FALSE),"-")</f>
        <v>-</v>
      </c>
      <c r="D360" s="69"/>
    </row>
    <row r="361" spans="2:4">
      <c r="B361" s="68"/>
      <c r="C361" s="69" t="str">
        <f>IFERROR(VLOOKUP(B361,Roster!$A$2:$B$5000,2,FALSE),"-")</f>
        <v>-</v>
      </c>
      <c r="D361" s="69"/>
    </row>
    <row r="362" spans="2:4">
      <c r="B362" s="68"/>
      <c r="C362" s="69" t="str">
        <f>IFERROR(VLOOKUP(B362,Roster!$A$2:$B$5000,2,FALSE),"-")</f>
        <v>-</v>
      </c>
      <c r="D362" s="69"/>
    </row>
    <row r="363" spans="2:4">
      <c r="B363" s="68"/>
      <c r="C363" s="69" t="str">
        <f>IFERROR(VLOOKUP(B363,Roster!$A$2:$B$5000,2,FALSE),"-")</f>
        <v>-</v>
      </c>
      <c r="D363" s="69"/>
    </row>
    <row r="364" spans="2:4">
      <c r="B364" s="68"/>
      <c r="C364" s="69" t="str">
        <f>IFERROR(VLOOKUP(B364,Roster!$A$2:$B$5000,2,FALSE),"-")</f>
        <v>-</v>
      </c>
      <c r="D364" s="69"/>
    </row>
    <row r="365" spans="2:4">
      <c r="B365" s="68"/>
      <c r="C365" s="69" t="str">
        <f>IFERROR(VLOOKUP(B365,Roster!$A$2:$B$5000,2,FALSE),"-")</f>
        <v>-</v>
      </c>
      <c r="D365" s="69"/>
    </row>
    <row r="366" spans="2:4">
      <c r="B366" s="68"/>
      <c r="C366" s="69" t="str">
        <f>IFERROR(VLOOKUP(B366,Roster!$A$2:$B$5000,2,FALSE),"-")</f>
        <v>-</v>
      </c>
      <c r="D366" s="69"/>
    </row>
    <row r="367" spans="2:4">
      <c r="B367" s="68"/>
      <c r="C367" s="69" t="str">
        <f>IFERROR(VLOOKUP(B367,Roster!$A$2:$B$5000,2,FALSE),"-")</f>
        <v>-</v>
      </c>
      <c r="D367" s="69"/>
    </row>
    <row r="368" spans="2:4">
      <c r="B368" s="68"/>
      <c r="C368" s="69" t="str">
        <f>IFERROR(VLOOKUP(B368,Roster!$A$2:$B$5000,2,FALSE),"-")</f>
        <v>-</v>
      </c>
      <c r="D368" s="69"/>
    </row>
    <row r="369" spans="2:4">
      <c r="B369" s="68"/>
      <c r="C369" s="69" t="str">
        <f>IFERROR(VLOOKUP(B369,Roster!$A$2:$B$5000,2,FALSE),"-")</f>
        <v>-</v>
      </c>
      <c r="D369" s="69"/>
    </row>
    <row r="370" spans="2:4">
      <c r="B370" s="68"/>
      <c r="C370" s="69" t="str">
        <f>IFERROR(VLOOKUP(B370,Roster!$A$2:$B$5000,2,FALSE),"-")</f>
        <v>-</v>
      </c>
      <c r="D370" s="69"/>
    </row>
    <row r="371" spans="2:4">
      <c r="B371" s="68"/>
      <c r="C371" s="69" t="str">
        <f>IFERROR(VLOOKUP(B371,Roster!$A$2:$B$5000,2,FALSE),"-")</f>
        <v>-</v>
      </c>
      <c r="D371" s="69"/>
    </row>
    <row r="372" spans="2:4">
      <c r="B372" s="68"/>
      <c r="C372" s="69" t="str">
        <f>IFERROR(VLOOKUP(B372,Roster!$A$2:$B$5000,2,FALSE),"-")</f>
        <v>-</v>
      </c>
      <c r="D372" s="69"/>
    </row>
    <row r="373" spans="2:4">
      <c r="B373" s="68"/>
      <c r="C373" s="69" t="str">
        <f>IFERROR(VLOOKUP(B373,Roster!$A$2:$B$5000,2,FALSE),"-")</f>
        <v>-</v>
      </c>
      <c r="D373" s="69"/>
    </row>
    <row r="374" spans="2:4">
      <c r="B374" s="68"/>
      <c r="C374" s="69" t="str">
        <f>IFERROR(VLOOKUP(B374,Roster!$A$2:$B$5000,2,FALSE),"-")</f>
        <v>-</v>
      </c>
      <c r="D374" s="69"/>
    </row>
    <row r="375" spans="2:4">
      <c r="B375" s="68"/>
      <c r="C375" s="69" t="str">
        <f>IFERROR(VLOOKUP(B375,Roster!$A$2:$B$5000,2,FALSE),"-")</f>
        <v>-</v>
      </c>
      <c r="D375" s="69"/>
    </row>
    <row r="376" spans="2:4">
      <c r="B376" s="68"/>
      <c r="C376" s="69" t="str">
        <f>IFERROR(VLOOKUP(B376,Roster!$A$2:$B$5000,2,FALSE),"-")</f>
        <v>-</v>
      </c>
      <c r="D376" s="69"/>
    </row>
    <row r="377" spans="2:4">
      <c r="B377" s="68"/>
      <c r="C377" s="69" t="str">
        <f>IFERROR(VLOOKUP(B377,Roster!$A$2:$B$5000,2,FALSE),"-")</f>
        <v>-</v>
      </c>
      <c r="D377" s="69"/>
    </row>
    <row r="378" spans="2:4">
      <c r="B378" s="68"/>
      <c r="C378" s="69" t="str">
        <f>IFERROR(VLOOKUP(B378,Roster!$A$2:$B$5000,2,FALSE),"-")</f>
        <v>-</v>
      </c>
      <c r="D378" s="69"/>
    </row>
    <row r="379" spans="2:4">
      <c r="B379" s="68"/>
      <c r="C379" s="69" t="str">
        <f>IFERROR(VLOOKUP(B379,Roster!$A$2:$B$5000,2,FALSE),"-")</f>
        <v>-</v>
      </c>
      <c r="D379" s="69"/>
    </row>
    <row r="380" spans="2:4">
      <c r="B380" s="68"/>
      <c r="C380" s="69" t="str">
        <f>IFERROR(VLOOKUP(B380,Roster!$A$2:$B$5000,2,FALSE),"-")</f>
        <v>-</v>
      </c>
      <c r="D380" s="69"/>
    </row>
    <row r="381" spans="2:4">
      <c r="B381" s="68"/>
      <c r="C381" s="69" t="str">
        <f>IFERROR(VLOOKUP(B381,Roster!$A$2:$B$5000,2,FALSE),"-")</f>
        <v>-</v>
      </c>
      <c r="D381" s="69"/>
    </row>
    <row r="382" spans="2:4">
      <c r="B382" s="68"/>
      <c r="C382" s="69" t="str">
        <f>IFERROR(VLOOKUP(B382,Roster!$A$2:$B$5000,2,FALSE),"-")</f>
        <v>-</v>
      </c>
      <c r="D382" s="69"/>
    </row>
    <row r="383" spans="2:4">
      <c r="B383" s="68"/>
      <c r="C383" s="69" t="str">
        <f>IFERROR(VLOOKUP(B383,Roster!$A$2:$B$5000,2,FALSE),"-")</f>
        <v>-</v>
      </c>
      <c r="D383" s="69"/>
    </row>
    <row r="384" spans="2:4">
      <c r="B384" s="68"/>
      <c r="C384" s="69" t="str">
        <f>IFERROR(VLOOKUP(B384,Roster!$A$2:$B$5000,2,FALSE),"-")</f>
        <v>-</v>
      </c>
      <c r="D384" s="69"/>
    </row>
    <row r="385" spans="2:4">
      <c r="B385" s="68"/>
      <c r="C385" s="69" t="str">
        <f>IFERROR(VLOOKUP(B385,Roster!$A$2:$B$5000,2,FALSE),"-")</f>
        <v>-</v>
      </c>
      <c r="D385" s="69"/>
    </row>
    <row r="386" spans="2:4">
      <c r="B386" s="68"/>
      <c r="C386" s="69" t="str">
        <f>IFERROR(VLOOKUP(B386,Roster!$A$2:$B$5000,2,FALSE),"-")</f>
        <v>-</v>
      </c>
      <c r="D386" s="69"/>
    </row>
    <row r="387" spans="2:4">
      <c r="B387" s="68"/>
      <c r="C387" s="69" t="str">
        <f>IFERROR(VLOOKUP(B387,Roster!$A$2:$B$5000,2,FALSE),"-")</f>
        <v>-</v>
      </c>
      <c r="D387" s="69"/>
    </row>
    <row r="388" spans="2:4">
      <c r="B388" s="68"/>
      <c r="C388" s="69" t="str">
        <f>IFERROR(VLOOKUP(B388,Roster!$A$2:$B$5000,2,FALSE),"-")</f>
        <v>-</v>
      </c>
      <c r="D388" s="69"/>
    </row>
    <row r="389" spans="2:4">
      <c r="B389" s="68"/>
      <c r="C389" s="69" t="str">
        <f>IFERROR(VLOOKUP(B389,Roster!$A$2:$B$5000,2,FALSE),"-")</f>
        <v>-</v>
      </c>
      <c r="D389" s="69"/>
    </row>
    <row r="390" spans="2:4">
      <c r="B390" s="68"/>
      <c r="C390" s="69" t="str">
        <f>IFERROR(VLOOKUP(B390,Roster!$A$2:$B$5000,2,FALSE),"-")</f>
        <v>-</v>
      </c>
      <c r="D390" s="69"/>
    </row>
    <row r="391" spans="2:4">
      <c r="B391" s="68"/>
      <c r="C391" s="69" t="str">
        <f>IFERROR(VLOOKUP(B391,Roster!$A$2:$B$5000,2,FALSE),"-")</f>
        <v>-</v>
      </c>
      <c r="D391" s="69"/>
    </row>
    <row r="392" spans="2:4">
      <c r="B392" s="68"/>
      <c r="C392" s="69" t="str">
        <f>IFERROR(VLOOKUP(B392,Roster!$A$2:$B$5000,2,FALSE),"-")</f>
        <v>-</v>
      </c>
      <c r="D392" s="69"/>
    </row>
    <row r="393" spans="2:4">
      <c r="B393" s="68"/>
      <c r="C393" s="69" t="str">
        <f>IFERROR(VLOOKUP(B393,Roster!$A$2:$B$5000,2,FALSE),"-")</f>
        <v>-</v>
      </c>
      <c r="D393" s="69"/>
    </row>
    <row r="394" spans="2:4">
      <c r="B394" s="68"/>
      <c r="C394" s="69" t="str">
        <f>IFERROR(VLOOKUP(B394,Roster!$A$2:$B$5000,2,FALSE),"-")</f>
        <v>-</v>
      </c>
      <c r="D394" s="69"/>
    </row>
    <row r="395" spans="2:4">
      <c r="B395" s="68"/>
      <c r="C395" s="69" t="str">
        <f>IFERROR(VLOOKUP(B395,Roster!$A$2:$B$5000,2,FALSE),"-")</f>
        <v>-</v>
      </c>
      <c r="D395" s="69"/>
    </row>
    <row r="396" spans="2:4">
      <c r="B396" s="68"/>
      <c r="C396" s="69" t="str">
        <f>IFERROR(VLOOKUP(B396,Roster!$A$2:$B$5000,2,FALSE),"-")</f>
        <v>-</v>
      </c>
      <c r="D396" s="69"/>
    </row>
    <row r="397" spans="2:4">
      <c r="B397" s="68"/>
      <c r="C397" s="69" t="str">
        <f>IFERROR(VLOOKUP(B397,Roster!$A$2:$B$5000,2,FALSE),"-")</f>
        <v>-</v>
      </c>
      <c r="D397" s="69"/>
    </row>
    <row r="398" spans="2:4">
      <c r="B398" s="68"/>
      <c r="C398" s="69" t="str">
        <f>IFERROR(VLOOKUP(B398,Roster!$A$2:$B$5000,2,FALSE),"-")</f>
        <v>-</v>
      </c>
      <c r="D398" s="69"/>
    </row>
    <row r="399" spans="2:4">
      <c r="B399" s="68"/>
      <c r="C399" s="69" t="str">
        <f>IFERROR(VLOOKUP(B399,Roster!$A$2:$B$5000,2,FALSE),"-")</f>
        <v>-</v>
      </c>
      <c r="D399" s="69"/>
    </row>
    <row r="400" spans="2:4">
      <c r="B400" s="68"/>
      <c r="C400" s="69" t="str">
        <f>IFERROR(VLOOKUP(B400,Roster!$A$2:$B$5000,2,FALSE),"-")</f>
        <v>-</v>
      </c>
      <c r="D400" s="69"/>
    </row>
    <row r="401" spans="2:4">
      <c r="B401" s="68"/>
      <c r="C401" s="69" t="str">
        <f>IFERROR(VLOOKUP(B401,Roster!$A$2:$B$5000,2,FALSE),"-")</f>
        <v>-</v>
      </c>
      <c r="D401" s="69"/>
    </row>
    <row r="402" spans="2:4">
      <c r="B402" s="68"/>
      <c r="C402" s="69" t="str">
        <f>IFERROR(VLOOKUP(B402,Roster!$A$2:$B$5000,2,FALSE),"-")</f>
        <v>-</v>
      </c>
      <c r="D402" s="69"/>
    </row>
    <row r="403" spans="2:4">
      <c r="B403" s="68"/>
      <c r="C403" s="69" t="str">
        <f>IFERROR(VLOOKUP(B403,Roster!$A$2:$B$5000,2,FALSE),"-")</f>
        <v>-</v>
      </c>
      <c r="D403" s="69"/>
    </row>
    <row r="404" spans="2:4">
      <c r="B404" s="68"/>
      <c r="C404" s="69" t="str">
        <f>IFERROR(VLOOKUP(B404,Roster!$A$2:$B$5000,2,FALSE),"-")</f>
        <v>-</v>
      </c>
      <c r="D404" s="69"/>
    </row>
    <row r="405" spans="2:4">
      <c r="B405" s="68"/>
      <c r="C405" s="69" t="str">
        <f>IFERROR(VLOOKUP(B405,Roster!$A$2:$B$5000,2,FALSE),"-")</f>
        <v>-</v>
      </c>
      <c r="D405" s="69"/>
    </row>
    <row r="406" spans="2:4">
      <c r="B406" s="68"/>
      <c r="C406" s="69" t="str">
        <f>IFERROR(VLOOKUP(B406,Roster!$A$2:$B$5000,2,FALSE),"-")</f>
        <v>-</v>
      </c>
      <c r="D406" s="69"/>
    </row>
    <row r="407" spans="2:4">
      <c r="B407" s="68"/>
      <c r="C407" s="69" t="str">
        <f>IFERROR(VLOOKUP(B407,Roster!$A$2:$B$5000,2,FALSE),"-")</f>
        <v>-</v>
      </c>
      <c r="D407" s="69"/>
    </row>
    <row r="408" spans="2:4">
      <c r="B408" s="68"/>
      <c r="C408" s="69" t="str">
        <f>IFERROR(VLOOKUP(B408,Roster!$A$2:$B$5000,2,FALSE),"-")</f>
        <v>-</v>
      </c>
      <c r="D408" s="69"/>
    </row>
    <row r="409" spans="2:4">
      <c r="B409" s="68"/>
      <c r="C409" s="69" t="str">
        <f>IFERROR(VLOOKUP(B409,Roster!$A$2:$B$5000,2,FALSE),"-")</f>
        <v>-</v>
      </c>
      <c r="D409" s="69"/>
    </row>
    <row r="410" spans="2:4">
      <c r="B410" s="68"/>
      <c r="C410" s="69" t="str">
        <f>IFERROR(VLOOKUP(B410,Roster!$A$2:$B$5000,2,FALSE),"-")</f>
        <v>-</v>
      </c>
      <c r="D410" s="69"/>
    </row>
    <row r="411" spans="2:4">
      <c r="B411" s="68"/>
      <c r="C411" s="69" t="str">
        <f>IFERROR(VLOOKUP(B411,Roster!$A$2:$B$5000,2,FALSE),"-")</f>
        <v>-</v>
      </c>
      <c r="D411" s="69"/>
    </row>
    <row r="412" spans="2:4">
      <c r="B412" s="68"/>
      <c r="C412" s="69" t="str">
        <f>IFERROR(VLOOKUP(B412,Roster!$A$2:$B$5000,2,FALSE),"-")</f>
        <v>-</v>
      </c>
      <c r="D412" s="69"/>
    </row>
    <row r="413" spans="2:4">
      <c r="B413" s="68"/>
      <c r="C413" s="69" t="str">
        <f>IFERROR(VLOOKUP(B413,Roster!$A$2:$B$5000,2,FALSE),"-")</f>
        <v>-</v>
      </c>
      <c r="D413" s="69"/>
    </row>
    <row r="414" spans="2:4">
      <c r="B414" s="68"/>
      <c r="C414" s="69" t="str">
        <f>IFERROR(VLOOKUP(B414,Roster!$A$2:$B$5000,2,FALSE),"-")</f>
        <v>-</v>
      </c>
      <c r="D414" s="69"/>
    </row>
    <row r="415" spans="2:4">
      <c r="B415" s="68"/>
      <c r="C415" s="69" t="str">
        <f>IFERROR(VLOOKUP(B415,Roster!$A$2:$B$5000,2,FALSE),"-")</f>
        <v>-</v>
      </c>
      <c r="D415" s="69"/>
    </row>
    <row r="416" spans="2:4">
      <c r="B416" s="68"/>
      <c r="C416" s="69" t="str">
        <f>IFERROR(VLOOKUP(B416,Roster!$A$2:$B$5000,2,FALSE),"-")</f>
        <v>-</v>
      </c>
      <c r="D416" s="69"/>
    </row>
    <row r="417" spans="2:4">
      <c r="B417" s="68"/>
      <c r="C417" s="69" t="str">
        <f>IFERROR(VLOOKUP(B417,Roster!$A$2:$B$5000,2,FALSE),"-")</f>
        <v>-</v>
      </c>
      <c r="D417" s="69"/>
    </row>
    <row r="418" spans="2:4">
      <c r="B418" s="68"/>
      <c r="C418" s="69" t="str">
        <f>IFERROR(VLOOKUP(B418,Roster!$A$2:$B$5000,2,FALSE),"-")</f>
        <v>-</v>
      </c>
      <c r="D418" s="69"/>
    </row>
    <row r="419" spans="2:4">
      <c r="B419" s="68"/>
      <c r="C419" s="69" t="str">
        <f>IFERROR(VLOOKUP(B419,Roster!$A$2:$B$5000,2,FALSE),"-")</f>
        <v>-</v>
      </c>
      <c r="D419" s="69"/>
    </row>
    <row r="420" spans="2:4">
      <c r="B420" s="68"/>
      <c r="C420" s="69" t="str">
        <f>IFERROR(VLOOKUP(B420,Roster!$A$2:$B$5000,2,FALSE),"-")</f>
        <v>-</v>
      </c>
      <c r="D420" s="69"/>
    </row>
    <row r="421" spans="2:4">
      <c r="B421" s="68"/>
      <c r="C421" s="69" t="str">
        <f>IFERROR(VLOOKUP(B421,Roster!$A$2:$B$5000,2,FALSE),"-")</f>
        <v>-</v>
      </c>
      <c r="D421" s="69"/>
    </row>
    <row r="422" spans="2:4">
      <c r="B422" s="68"/>
      <c r="C422" s="69" t="str">
        <f>IFERROR(VLOOKUP(B422,Roster!$A$2:$B$5000,2,FALSE),"-")</f>
        <v>-</v>
      </c>
      <c r="D422" s="69"/>
    </row>
    <row r="423" spans="2:4">
      <c r="B423" s="68"/>
      <c r="C423" s="69" t="str">
        <f>IFERROR(VLOOKUP(B423,Roster!$A$2:$B$5000,2,FALSE),"-")</f>
        <v>-</v>
      </c>
      <c r="D423" s="69"/>
    </row>
    <row r="424" spans="2:4">
      <c r="B424" s="68"/>
      <c r="C424" s="69" t="str">
        <f>IFERROR(VLOOKUP(B424,Roster!$A$2:$B$5000,2,FALSE),"-")</f>
        <v>-</v>
      </c>
      <c r="D424" s="69"/>
    </row>
    <row r="425" spans="2:4">
      <c r="B425" s="68"/>
      <c r="C425" s="69" t="str">
        <f>IFERROR(VLOOKUP(B425,Roster!$A$2:$B$5000,2,FALSE),"-")</f>
        <v>-</v>
      </c>
      <c r="D425" s="69"/>
    </row>
    <row r="426" spans="2:4">
      <c r="B426" s="68"/>
      <c r="C426" s="69" t="str">
        <f>IFERROR(VLOOKUP(B426,Roster!$A$2:$B$5000,2,FALSE),"-")</f>
        <v>-</v>
      </c>
      <c r="D426" s="69"/>
    </row>
    <row r="427" spans="2:4">
      <c r="B427" s="68"/>
      <c r="C427" s="69" t="str">
        <f>IFERROR(VLOOKUP(B427,Roster!$A$2:$B$5000,2,FALSE),"-")</f>
        <v>-</v>
      </c>
      <c r="D427" s="69"/>
    </row>
    <row r="428" spans="2:4">
      <c r="B428" s="68"/>
      <c r="C428" s="69" t="str">
        <f>IFERROR(VLOOKUP(B428,Roster!$A$2:$B$5000,2,FALSE),"-")</f>
        <v>-</v>
      </c>
      <c r="D428" s="69"/>
    </row>
    <row r="429" spans="2:4">
      <c r="B429" s="68"/>
      <c r="C429" s="69" t="str">
        <f>IFERROR(VLOOKUP(B429,Roster!$A$2:$B$5000,2,FALSE),"-")</f>
        <v>-</v>
      </c>
      <c r="D429" s="69"/>
    </row>
    <row r="430" spans="2:4">
      <c r="B430" s="68"/>
      <c r="C430" s="69" t="str">
        <f>IFERROR(VLOOKUP(B430,Roster!$A$2:$B$5000,2,FALSE),"-")</f>
        <v>-</v>
      </c>
      <c r="D430" s="69"/>
    </row>
    <row r="431" spans="2:4">
      <c r="B431" s="68"/>
      <c r="C431" s="69" t="str">
        <f>IFERROR(VLOOKUP(B431,Roster!$A$2:$B$5000,2,FALSE),"-")</f>
        <v>-</v>
      </c>
      <c r="D431" s="69"/>
    </row>
    <row r="432" spans="2:4">
      <c r="B432" s="68"/>
      <c r="C432" s="69" t="str">
        <f>IFERROR(VLOOKUP(B432,Roster!$A$2:$B$5000,2,FALSE),"-")</f>
        <v>-</v>
      </c>
      <c r="D432" s="69"/>
    </row>
    <row r="433" spans="2:4">
      <c r="B433" s="68"/>
      <c r="C433" s="69" t="str">
        <f>IFERROR(VLOOKUP(B433,Roster!$A$2:$B$5000,2,FALSE),"-")</f>
        <v>-</v>
      </c>
      <c r="D433" s="69"/>
    </row>
    <row r="434" spans="2:4">
      <c r="B434" s="68"/>
      <c r="C434" s="69" t="str">
        <f>IFERROR(VLOOKUP(B434,Roster!$A$2:$B$5000,2,FALSE),"-")</f>
        <v>-</v>
      </c>
      <c r="D434" s="69"/>
    </row>
    <row r="435" spans="2:4">
      <c r="B435" s="68"/>
      <c r="C435" s="69" t="str">
        <f>IFERROR(VLOOKUP(B435,Roster!$A$2:$B$5000,2,FALSE),"-")</f>
        <v>-</v>
      </c>
      <c r="D435" s="69"/>
    </row>
    <row r="436" spans="2:4">
      <c r="B436" s="68"/>
      <c r="C436" s="69" t="str">
        <f>IFERROR(VLOOKUP(B436,Roster!$A$2:$B$5000,2,FALSE),"-")</f>
        <v>-</v>
      </c>
      <c r="D436" s="69"/>
    </row>
    <row r="437" spans="2:4">
      <c r="B437" s="68"/>
      <c r="C437" s="69" t="str">
        <f>IFERROR(VLOOKUP(B437,Roster!$A$2:$B$5000,2,FALSE),"-")</f>
        <v>-</v>
      </c>
      <c r="D437" s="69"/>
    </row>
    <row r="438" spans="2:4">
      <c r="B438" s="68"/>
      <c r="C438" s="69" t="str">
        <f>IFERROR(VLOOKUP(B438,Roster!$A$2:$B$5000,2,FALSE),"-")</f>
        <v>-</v>
      </c>
      <c r="D438" s="69"/>
    </row>
    <row r="439" spans="2:4">
      <c r="B439" s="68"/>
      <c r="C439" s="69" t="str">
        <f>IFERROR(VLOOKUP(B439,Roster!$A$2:$B$5000,2,FALSE),"-")</f>
        <v>-</v>
      </c>
      <c r="D439" s="69"/>
    </row>
    <row r="440" spans="2:4">
      <c r="B440" s="68"/>
      <c r="C440" s="69" t="str">
        <f>IFERROR(VLOOKUP(B440,Roster!$A$2:$B$5000,2,FALSE),"-")</f>
        <v>-</v>
      </c>
      <c r="D440" s="69"/>
    </row>
    <row r="441" spans="2:4">
      <c r="B441" s="68"/>
      <c r="C441" s="69" t="str">
        <f>IFERROR(VLOOKUP(B441,Roster!$A$2:$B$5000,2,FALSE),"-")</f>
        <v>-</v>
      </c>
      <c r="D441" s="69"/>
    </row>
    <row r="442" spans="2:4">
      <c r="B442" s="68"/>
      <c r="C442" s="69" t="str">
        <f>IFERROR(VLOOKUP(B442,Roster!$A$2:$B$5000,2,FALSE),"-")</f>
        <v>-</v>
      </c>
      <c r="D442" s="69"/>
    </row>
    <row r="443" spans="2:4">
      <c r="B443" s="68"/>
      <c r="C443" s="69" t="str">
        <f>IFERROR(VLOOKUP(B443,Roster!$A$2:$B$5000,2,FALSE),"-")</f>
        <v>-</v>
      </c>
      <c r="D443" s="69"/>
    </row>
    <row r="444" spans="2:4">
      <c r="B444" s="68"/>
      <c r="C444" s="69" t="str">
        <f>IFERROR(VLOOKUP(B444,Roster!$A$2:$B$5000,2,FALSE),"-")</f>
        <v>-</v>
      </c>
      <c r="D444" s="69"/>
    </row>
    <row r="445" spans="2:4">
      <c r="B445" s="68"/>
      <c r="C445" s="69" t="str">
        <f>IFERROR(VLOOKUP(B445,Roster!$A$2:$B$5000,2,FALSE),"-")</f>
        <v>-</v>
      </c>
      <c r="D445" s="69"/>
    </row>
    <row r="446" spans="2:4">
      <c r="B446" s="68"/>
      <c r="C446" s="69" t="str">
        <f>IFERROR(VLOOKUP(B446,Roster!$A$2:$B$5000,2,FALSE),"-")</f>
        <v>-</v>
      </c>
      <c r="D446" s="69"/>
    </row>
    <row r="447" spans="2:4">
      <c r="B447" s="68"/>
      <c r="C447" s="69" t="str">
        <f>IFERROR(VLOOKUP(B447,Roster!$A$2:$B$5000,2,FALSE),"-")</f>
        <v>-</v>
      </c>
      <c r="D447" s="69"/>
    </row>
    <row r="448" spans="2:4">
      <c r="B448" s="68"/>
      <c r="C448" s="69" t="str">
        <f>IFERROR(VLOOKUP(B448,Roster!$A$2:$B$5000,2,FALSE),"-")</f>
        <v>-</v>
      </c>
      <c r="D448" s="69"/>
    </row>
    <row r="449" spans="2:4">
      <c r="B449" s="68"/>
      <c r="C449" s="69" t="str">
        <f>IFERROR(VLOOKUP(B449,Roster!$A$2:$B$5000,2,FALSE),"-")</f>
        <v>-</v>
      </c>
      <c r="D449" s="69"/>
    </row>
    <row r="450" spans="2:4">
      <c r="B450" s="68"/>
      <c r="C450" s="69" t="str">
        <f>IFERROR(VLOOKUP(B450,Roster!$A$2:$B$5000,2,FALSE),"-")</f>
        <v>-</v>
      </c>
      <c r="D450" s="69"/>
    </row>
    <row r="451" spans="2:4">
      <c r="B451" s="68"/>
      <c r="C451" s="69" t="str">
        <f>IFERROR(VLOOKUP(B451,Roster!$A$2:$B$5000,2,FALSE),"-")</f>
        <v>-</v>
      </c>
      <c r="D451" s="69"/>
    </row>
    <row r="452" spans="2:4">
      <c r="B452" s="68"/>
      <c r="C452" s="69" t="str">
        <f>IFERROR(VLOOKUP(B452,Roster!$A$2:$B$5000,2,FALSE),"-")</f>
        <v>-</v>
      </c>
      <c r="D452" s="69"/>
    </row>
    <row r="453" spans="2:4">
      <c r="B453" s="68"/>
      <c r="C453" s="69" t="str">
        <f>IFERROR(VLOOKUP(B453,Roster!$A$2:$B$5000,2,FALSE),"-")</f>
        <v>-</v>
      </c>
      <c r="D453" s="69"/>
    </row>
    <row r="454" spans="2:4">
      <c r="B454" s="68"/>
      <c r="C454" s="69" t="str">
        <f>IFERROR(VLOOKUP(B454,Roster!$A$2:$B$5000,2,FALSE),"-")</f>
        <v>-</v>
      </c>
      <c r="D454" s="69"/>
    </row>
    <row r="455" spans="2:4">
      <c r="B455" s="68"/>
      <c r="C455" s="69" t="str">
        <f>IFERROR(VLOOKUP(B455,Roster!$A$2:$B$5000,2,FALSE),"-")</f>
        <v>-</v>
      </c>
      <c r="D455" s="69"/>
    </row>
    <row r="456" spans="2:4">
      <c r="B456" s="68"/>
      <c r="C456" s="69" t="str">
        <f>IFERROR(VLOOKUP(B456,Roster!$A$2:$B$5000,2,FALSE),"-")</f>
        <v>-</v>
      </c>
      <c r="D456" s="69"/>
    </row>
    <row r="457" spans="2:4">
      <c r="B457" s="68"/>
      <c r="C457" s="69" t="str">
        <f>IFERROR(VLOOKUP(B457,Roster!$A$2:$B$5000,2,FALSE),"-")</f>
        <v>-</v>
      </c>
      <c r="D457" s="69"/>
    </row>
    <row r="458" spans="2:4">
      <c r="B458" s="68"/>
      <c r="C458" s="69" t="str">
        <f>IFERROR(VLOOKUP(B458,Roster!$A$2:$B$5000,2,FALSE),"-")</f>
        <v>-</v>
      </c>
      <c r="D458" s="69"/>
    </row>
    <row r="459" spans="2:4">
      <c r="B459" s="68"/>
      <c r="C459" s="69" t="str">
        <f>IFERROR(VLOOKUP(B459,Roster!$A$2:$B$5000,2,FALSE),"-")</f>
        <v>-</v>
      </c>
      <c r="D459" s="69"/>
    </row>
    <row r="460" spans="2:4">
      <c r="B460" s="68"/>
      <c r="C460" s="69" t="str">
        <f>IFERROR(VLOOKUP(B460,Roster!$A$2:$B$5000,2,FALSE),"-")</f>
        <v>-</v>
      </c>
      <c r="D460" s="69"/>
    </row>
    <row r="461" spans="2:4">
      <c r="B461" s="68"/>
      <c r="C461" s="69" t="str">
        <f>IFERROR(VLOOKUP(B461,Roster!$A$2:$B$5000,2,FALSE),"-")</f>
        <v>-</v>
      </c>
      <c r="D461" s="69"/>
    </row>
    <row r="462" spans="2:4">
      <c r="B462" s="68"/>
      <c r="C462" s="69" t="str">
        <f>IFERROR(VLOOKUP(B462,Roster!$A$2:$B$5000,2,FALSE),"-")</f>
        <v>-</v>
      </c>
      <c r="D462" s="69"/>
    </row>
    <row r="463" spans="2:4">
      <c r="B463" s="68"/>
      <c r="C463" s="69" t="str">
        <f>IFERROR(VLOOKUP(B463,Roster!$A$2:$B$5000,2,FALSE),"-")</f>
        <v>-</v>
      </c>
      <c r="D463" s="69"/>
    </row>
    <row r="464" spans="2:4">
      <c r="B464" s="68"/>
      <c r="C464" s="69" t="str">
        <f>IFERROR(VLOOKUP(B464,Roster!$A$2:$B$5000,2,FALSE),"-")</f>
        <v>-</v>
      </c>
      <c r="D464" s="69"/>
    </row>
    <row r="465" spans="2:4">
      <c r="B465" s="68"/>
      <c r="C465" s="69" t="str">
        <f>IFERROR(VLOOKUP(B465,Roster!$A$2:$B$5000,2,FALSE),"-")</f>
        <v>-</v>
      </c>
      <c r="D465" s="69"/>
    </row>
    <row r="466" spans="2:4">
      <c r="B466" s="68"/>
      <c r="C466" s="69" t="str">
        <f>IFERROR(VLOOKUP(B466,Roster!$A$2:$B$5000,2,FALSE),"-")</f>
        <v>-</v>
      </c>
      <c r="D466" s="69"/>
    </row>
    <row r="467" spans="2:4">
      <c r="B467" s="68"/>
      <c r="C467" s="69" t="str">
        <f>IFERROR(VLOOKUP(B467,Roster!$A$2:$B$5000,2,FALSE),"-")</f>
        <v>-</v>
      </c>
      <c r="D467" s="69"/>
    </row>
    <row r="468" spans="2:4">
      <c r="B468" s="68"/>
      <c r="C468" s="69" t="str">
        <f>IFERROR(VLOOKUP(B468,Roster!$A$2:$B$5000,2,FALSE),"-")</f>
        <v>-</v>
      </c>
      <c r="D468" s="69"/>
    </row>
    <row r="469" spans="2:4">
      <c r="B469" s="68"/>
      <c r="C469" s="69" t="str">
        <f>IFERROR(VLOOKUP(B469,Roster!$A$2:$B$5000,2,FALSE),"-")</f>
        <v>-</v>
      </c>
      <c r="D469" s="69"/>
    </row>
    <row r="470" spans="2:4">
      <c r="B470" s="68"/>
      <c r="C470" s="69" t="str">
        <f>IFERROR(VLOOKUP(B470,Roster!$A$2:$B$5000,2,FALSE),"-")</f>
        <v>-</v>
      </c>
      <c r="D470" s="69"/>
    </row>
    <row r="471" spans="2:4">
      <c r="B471" s="68"/>
      <c r="C471" s="69" t="str">
        <f>IFERROR(VLOOKUP(B471,Roster!$A$2:$B$5000,2,FALSE),"-")</f>
        <v>-</v>
      </c>
      <c r="D471" s="69"/>
    </row>
    <row r="472" spans="2:4">
      <c r="B472" s="68"/>
      <c r="C472" s="69" t="str">
        <f>IFERROR(VLOOKUP(B472,Roster!$A$2:$B$5000,2,FALSE),"-")</f>
        <v>-</v>
      </c>
      <c r="D472" s="69"/>
    </row>
    <row r="473" spans="2:4">
      <c r="B473" s="68"/>
      <c r="C473" s="69" t="str">
        <f>IFERROR(VLOOKUP(B473,Roster!$A$2:$B$5000,2,FALSE),"-")</f>
        <v>-</v>
      </c>
      <c r="D473" s="69"/>
    </row>
    <row r="474" spans="2:4">
      <c r="B474" s="68"/>
      <c r="C474" s="69" t="str">
        <f>IFERROR(VLOOKUP(B474,Roster!$A$2:$B$5000,2,FALSE),"-")</f>
        <v>-</v>
      </c>
      <c r="D474" s="69"/>
    </row>
    <row r="475" spans="2:4">
      <c r="B475" s="68"/>
      <c r="C475" s="69" t="str">
        <f>IFERROR(VLOOKUP(B475,Roster!$A$2:$B$5000,2,FALSE),"-")</f>
        <v>-</v>
      </c>
      <c r="D475" s="69"/>
    </row>
    <row r="476" spans="2:4">
      <c r="B476" s="68"/>
      <c r="C476" s="69" t="str">
        <f>IFERROR(VLOOKUP(B476,Roster!$A$2:$B$5000,2,FALSE),"-")</f>
        <v>-</v>
      </c>
      <c r="D476" s="69"/>
    </row>
    <row r="477" spans="2:4">
      <c r="B477" s="68"/>
      <c r="C477" s="69" t="str">
        <f>IFERROR(VLOOKUP(B477,Roster!$A$2:$B$5000,2,FALSE),"-")</f>
        <v>-</v>
      </c>
      <c r="D477" s="69"/>
    </row>
    <row r="478" spans="2:4">
      <c r="B478" s="68"/>
      <c r="C478" s="69" t="str">
        <f>IFERROR(VLOOKUP(B478,Roster!$A$2:$B$5000,2,FALSE),"-")</f>
        <v>-</v>
      </c>
      <c r="D478" s="69"/>
    </row>
    <row r="479" spans="2:4">
      <c r="B479" s="68"/>
      <c r="C479" s="69" t="str">
        <f>IFERROR(VLOOKUP(B479,Roster!$A$2:$B$5000,2,FALSE),"-")</f>
        <v>-</v>
      </c>
      <c r="D479" s="69"/>
    </row>
    <row r="480" spans="2:4">
      <c r="B480" s="68"/>
      <c r="C480" s="69" t="str">
        <f>IFERROR(VLOOKUP(B480,Roster!$A$2:$B$5000,2,FALSE),"-")</f>
        <v>-</v>
      </c>
      <c r="D480" s="69"/>
    </row>
    <row r="481" spans="2:4">
      <c r="B481" s="68"/>
      <c r="C481" s="69" t="str">
        <f>IFERROR(VLOOKUP(B481,Roster!$A$2:$B$5000,2,FALSE),"-")</f>
        <v>-</v>
      </c>
      <c r="D481" s="69"/>
    </row>
    <row r="482" spans="2:4">
      <c r="B482" s="68"/>
      <c r="C482" s="69" t="str">
        <f>IFERROR(VLOOKUP(B482,Roster!$A$2:$B$5000,2,FALSE),"-")</f>
        <v>-</v>
      </c>
      <c r="D482" s="69"/>
    </row>
    <row r="483" spans="2:4">
      <c r="B483" s="68"/>
      <c r="C483" s="69" t="str">
        <f>IFERROR(VLOOKUP(B483,Roster!$A$2:$B$5000,2,FALSE),"-")</f>
        <v>-</v>
      </c>
      <c r="D483" s="69"/>
    </row>
    <row r="484" spans="2:4">
      <c r="B484" s="68"/>
      <c r="C484" s="69" t="str">
        <f>IFERROR(VLOOKUP(B484,Roster!$A$2:$B$5000,2,FALSE),"-")</f>
        <v>-</v>
      </c>
      <c r="D484" s="69"/>
    </row>
    <row r="485" spans="2:4">
      <c r="B485" s="68"/>
      <c r="C485" s="69" t="str">
        <f>IFERROR(VLOOKUP(B485,Roster!$A$2:$B$5000,2,FALSE),"-")</f>
        <v>-</v>
      </c>
      <c r="D485" s="69"/>
    </row>
    <row r="486" spans="2:4">
      <c r="B486" s="68"/>
      <c r="C486" s="69" t="str">
        <f>IFERROR(VLOOKUP(B486,Roster!$A$2:$B$5000,2,FALSE),"-")</f>
        <v>-</v>
      </c>
      <c r="D486" s="69"/>
    </row>
    <row r="487" spans="2:4">
      <c r="B487" s="68"/>
      <c r="C487" s="69" t="str">
        <f>IFERROR(VLOOKUP(B487,Roster!$A$2:$B$5000,2,FALSE),"-")</f>
        <v>-</v>
      </c>
      <c r="D487" s="69"/>
    </row>
    <row r="488" spans="2:4">
      <c r="B488" s="68"/>
      <c r="C488" s="69" t="str">
        <f>IFERROR(VLOOKUP(B488,Roster!$A$2:$B$5000,2,FALSE),"-")</f>
        <v>-</v>
      </c>
      <c r="D488" s="69"/>
    </row>
    <row r="489" spans="2:4">
      <c r="B489" s="68"/>
      <c r="C489" s="69" t="str">
        <f>IFERROR(VLOOKUP(B489,Roster!$A$2:$B$5000,2,FALSE),"-")</f>
        <v>-</v>
      </c>
      <c r="D489" s="69"/>
    </row>
    <row r="490" spans="2:4">
      <c r="B490" s="68"/>
      <c r="C490" s="69" t="str">
        <f>IFERROR(VLOOKUP(B490,Roster!$A$2:$B$5000,2,FALSE),"-")</f>
        <v>-</v>
      </c>
      <c r="D490" s="69"/>
    </row>
    <row r="491" spans="2:4">
      <c r="B491" s="68"/>
      <c r="C491" s="69" t="str">
        <f>IFERROR(VLOOKUP(B491,Roster!$A$2:$B$5000,2,FALSE),"-")</f>
        <v>-</v>
      </c>
      <c r="D491" s="69"/>
    </row>
    <row r="492" spans="2:4">
      <c r="B492" s="68"/>
      <c r="C492" s="69" t="str">
        <f>IFERROR(VLOOKUP(B492,Roster!$A$2:$B$5000,2,FALSE),"-")</f>
        <v>-</v>
      </c>
      <c r="D492" s="69"/>
    </row>
    <row r="493" spans="2:4">
      <c r="B493" s="68"/>
      <c r="C493" s="69" t="str">
        <f>IFERROR(VLOOKUP(B493,Roster!$A$2:$B$5000,2,FALSE),"-")</f>
        <v>-</v>
      </c>
      <c r="D493" s="69"/>
    </row>
    <row r="494" spans="2:4">
      <c r="B494" s="68"/>
      <c r="C494" s="69" t="str">
        <f>IFERROR(VLOOKUP(B494,Roster!$A$2:$B$5000,2,FALSE),"-")</f>
        <v>-</v>
      </c>
      <c r="D494" s="69"/>
    </row>
    <row r="495" spans="2:4">
      <c r="B495" s="68"/>
      <c r="C495" s="69" t="str">
        <f>IFERROR(VLOOKUP(B495,Roster!$A$2:$B$5000,2,FALSE),"-")</f>
        <v>-</v>
      </c>
      <c r="D495" s="69"/>
    </row>
    <row r="496" spans="2:4">
      <c r="B496" s="68"/>
      <c r="C496" s="69" t="str">
        <f>IFERROR(VLOOKUP(B496,Roster!$A$2:$B$5000,2,FALSE),"-")</f>
        <v>-</v>
      </c>
      <c r="D496" s="69"/>
    </row>
    <row r="497" spans="2:4">
      <c r="B497" s="68"/>
      <c r="C497" s="69" t="str">
        <f>IFERROR(VLOOKUP(B497,Roster!$A$2:$B$5000,2,FALSE),"-")</f>
        <v>-</v>
      </c>
      <c r="D497" s="69"/>
    </row>
    <row r="498" spans="2:4">
      <c r="B498" s="68"/>
      <c r="C498" s="69" t="str">
        <f>IFERROR(VLOOKUP(B498,Roster!$A$2:$B$5000,2,FALSE),"-")</f>
        <v>-</v>
      </c>
      <c r="D498" s="69"/>
    </row>
    <row r="499" spans="2:4">
      <c r="B499" s="68"/>
      <c r="C499" s="69" t="str">
        <f>IFERROR(VLOOKUP(B499,Roster!$A$2:$B$5000,2,FALSE),"-")</f>
        <v>-</v>
      </c>
      <c r="D499" s="69"/>
    </row>
    <row r="500" spans="2:4">
      <c r="B500" s="68"/>
      <c r="C500" s="69" t="str">
        <f>IFERROR(VLOOKUP(B500,Roster!$A$2:$B$5000,2,FALSE),"-")</f>
        <v>-</v>
      </c>
      <c r="D500" s="69"/>
    </row>
    <row r="501" spans="2:4">
      <c r="B501" s="68"/>
      <c r="C501" s="69" t="str">
        <f>IFERROR(VLOOKUP(B501,Roster!$A$2:$B$5000,2,FALSE),"-")</f>
        <v>-</v>
      </c>
      <c r="D501" s="69"/>
    </row>
    <row r="502" spans="2:4">
      <c r="B502" s="68"/>
      <c r="C502" s="69" t="str">
        <f>IFERROR(VLOOKUP(B502,Roster!$A$2:$B$5000,2,FALSE),"-")</f>
        <v>-</v>
      </c>
      <c r="D502" s="69"/>
    </row>
    <row r="503" spans="2:4">
      <c r="B503" s="68"/>
      <c r="C503" s="69" t="str">
        <f>IFERROR(VLOOKUP(B503,Roster!$A$2:$B$5000,2,FALSE),"-")</f>
        <v>-</v>
      </c>
      <c r="D503" s="69"/>
    </row>
    <row r="504" spans="2:4">
      <c r="B504" s="68"/>
      <c r="C504" s="69" t="str">
        <f>IFERROR(VLOOKUP(B504,Roster!$A$2:$B$5000,2,FALSE),"-")</f>
        <v>-</v>
      </c>
      <c r="D504" s="69"/>
    </row>
    <row r="505" spans="2:4">
      <c r="B505" s="68"/>
      <c r="C505" s="69" t="str">
        <f>IFERROR(VLOOKUP(B505,Roster!$A$2:$B$5000,2,FALSE),"-")</f>
        <v>-</v>
      </c>
      <c r="D505" s="69"/>
    </row>
    <row r="506" spans="2:4">
      <c r="B506" s="68"/>
      <c r="C506" s="69" t="str">
        <f>IFERROR(VLOOKUP(B506,Roster!$A$2:$B$5000,2,FALSE),"-")</f>
        <v>-</v>
      </c>
      <c r="D506" s="69"/>
    </row>
    <row r="507" spans="2:4">
      <c r="B507" s="68"/>
      <c r="C507" s="69" t="str">
        <f>IFERROR(VLOOKUP(B507,Roster!$A$2:$B$5000,2,FALSE),"-")</f>
        <v>-</v>
      </c>
      <c r="D507" s="69"/>
    </row>
    <row r="508" spans="2:4">
      <c r="B508" s="68"/>
      <c r="C508" s="69" t="str">
        <f>IFERROR(VLOOKUP(B508,Roster!$A$2:$B$5000,2,FALSE),"-")</f>
        <v>-</v>
      </c>
      <c r="D508" s="69"/>
    </row>
    <row r="509" spans="2:4">
      <c r="B509" s="68"/>
      <c r="C509" s="69" t="str">
        <f>IFERROR(VLOOKUP(B509,Roster!$A$2:$B$5000,2,FALSE),"-")</f>
        <v>-</v>
      </c>
      <c r="D509" s="69"/>
    </row>
    <row r="510" spans="2:4">
      <c r="B510" s="68"/>
      <c r="C510" s="69" t="str">
        <f>IFERROR(VLOOKUP(B510,Roster!$A$2:$B$5000,2,FALSE),"-")</f>
        <v>-</v>
      </c>
      <c r="D510" s="69"/>
    </row>
    <row r="511" spans="2:4">
      <c r="B511" s="68"/>
      <c r="C511" s="69" t="str">
        <f>IFERROR(VLOOKUP(B511,Roster!$A$2:$B$5000,2,FALSE),"-")</f>
        <v>-</v>
      </c>
      <c r="D511" s="69"/>
    </row>
    <row r="512" spans="2:4">
      <c r="B512" s="68"/>
      <c r="C512" s="69" t="str">
        <f>IFERROR(VLOOKUP(B512,Roster!$A$2:$B$5000,2,FALSE),"-")</f>
        <v>-</v>
      </c>
      <c r="D512" s="69"/>
    </row>
    <row r="513" spans="2:4">
      <c r="B513" s="68"/>
      <c r="C513" s="69" t="str">
        <f>IFERROR(VLOOKUP(B513,Roster!$A$2:$B$5000,2,FALSE),"-")</f>
        <v>-</v>
      </c>
      <c r="D513" s="69"/>
    </row>
    <row r="514" spans="2:4">
      <c r="B514" s="68"/>
      <c r="C514" s="69" t="str">
        <f>IFERROR(VLOOKUP(B514,Roster!$A$2:$B$5000,2,FALSE),"-")</f>
        <v>-</v>
      </c>
      <c r="D514" s="69"/>
    </row>
    <row r="515" spans="2:4">
      <c r="B515" s="68"/>
      <c r="C515" s="69" t="str">
        <f>IFERROR(VLOOKUP(B515,Roster!$A$2:$B$5000,2,FALSE),"-")</f>
        <v>-</v>
      </c>
      <c r="D515" s="69"/>
    </row>
    <row r="516" spans="2:4">
      <c r="B516" s="68"/>
      <c r="C516" s="69" t="str">
        <f>IFERROR(VLOOKUP(B516,Roster!$A$2:$B$5000,2,FALSE),"-")</f>
        <v>-</v>
      </c>
      <c r="D516" s="69"/>
    </row>
    <row r="517" spans="2:4">
      <c r="B517" s="68"/>
      <c r="C517" s="69" t="str">
        <f>IFERROR(VLOOKUP(B517,Roster!$A$2:$B$5000,2,FALSE),"-")</f>
        <v>-</v>
      </c>
      <c r="D517" s="69"/>
    </row>
    <row r="518" spans="2:4">
      <c r="B518" s="68"/>
      <c r="C518" s="69" t="str">
        <f>IFERROR(VLOOKUP(B518,Roster!$A$2:$B$5000,2,FALSE),"-")</f>
        <v>-</v>
      </c>
      <c r="D518" s="69"/>
    </row>
    <row r="519" spans="2:4">
      <c r="B519" s="68"/>
      <c r="C519" s="69" t="str">
        <f>IFERROR(VLOOKUP(B519,Roster!$A$2:$B$5000,2,FALSE),"-")</f>
        <v>-</v>
      </c>
      <c r="D519" s="69"/>
    </row>
    <row r="520" spans="2:4">
      <c r="B520" s="68"/>
      <c r="C520" s="69" t="str">
        <f>IFERROR(VLOOKUP(B520,Roster!$A$2:$B$5000,2,FALSE),"-")</f>
        <v>-</v>
      </c>
      <c r="D520" s="69"/>
    </row>
    <row r="521" spans="2:4">
      <c r="B521" s="68"/>
      <c r="C521" s="69" t="str">
        <f>IFERROR(VLOOKUP(B521,Roster!$A$2:$B$5000,2,FALSE),"-")</f>
        <v>-</v>
      </c>
      <c r="D521" s="69"/>
    </row>
    <row r="522" spans="2:4">
      <c r="B522" s="68"/>
      <c r="C522" s="69" t="str">
        <f>IFERROR(VLOOKUP(B522,Roster!$A$2:$B$5000,2,FALSE),"-")</f>
        <v>-</v>
      </c>
      <c r="D522" s="69"/>
    </row>
    <row r="523" spans="2:4">
      <c r="B523" s="68"/>
      <c r="C523" s="69" t="str">
        <f>IFERROR(VLOOKUP(B523,Roster!$A$2:$B$5000,2,FALSE),"-")</f>
        <v>-</v>
      </c>
      <c r="D523" s="69"/>
    </row>
    <row r="524" spans="2:4">
      <c r="B524" s="68"/>
      <c r="C524" s="69" t="str">
        <f>IFERROR(VLOOKUP(B524,Roster!$A$2:$B$5000,2,FALSE),"-")</f>
        <v>-</v>
      </c>
      <c r="D524" s="69"/>
    </row>
    <row r="525" spans="2:4">
      <c r="B525" s="68"/>
      <c r="C525" s="69" t="str">
        <f>IFERROR(VLOOKUP(B525,Roster!$A$2:$B$5000,2,FALSE),"-")</f>
        <v>-</v>
      </c>
      <c r="D525" s="69"/>
    </row>
    <row r="526" spans="2:4">
      <c r="B526" s="68"/>
      <c r="C526" s="69" t="str">
        <f>IFERROR(VLOOKUP(B526,Roster!$A$2:$B$5000,2,FALSE),"-")</f>
        <v>-</v>
      </c>
      <c r="D526" s="69"/>
    </row>
    <row r="527" spans="2:4">
      <c r="B527" s="68"/>
      <c r="C527" s="69" t="str">
        <f>IFERROR(VLOOKUP(B527,Roster!$A$2:$B$5000,2,FALSE),"-")</f>
        <v>-</v>
      </c>
      <c r="D527" s="69"/>
    </row>
    <row r="528" spans="2:4">
      <c r="B528" s="68"/>
      <c r="C528" s="69" t="str">
        <f>IFERROR(VLOOKUP(B528,Roster!$A$2:$B$5000,2,FALSE),"-")</f>
        <v>-</v>
      </c>
      <c r="D528" s="69"/>
    </row>
    <row r="529" spans="2:4">
      <c r="B529" s="68"/>
      <c r="C529" s="69" t="str">
        <f>IFERROR(VLOOKUP(B529,Roster!$A$2:$B$5000,2,FALSE),"-")</f>
        <v>-</v>
      </c>
      <c r="D529" s="69"/>
    </row>
    <row r="530" spans="2:4">
      <c r="B530" s="68"/>
      <c r="C530" s="69" t="str">
        <f>IFERROR(VLOOKUP(B530,Roster!$A$2:$B$5000,2,FALSE),"-")</f>
        <v>-</v>
      </c>
      <c r="D530" s="69"/>
    </row>
    <row r="531" spans="2:4">
      <c r="B531" s="68"/>
      <c r="C531" s="69" t="str">
        <f>IFERROR(VLOOKUP(B531,Roster!$A$2:$B$5000,2,FALSE),"-")</f>
        <v>-</v>
      </c>
      <c r="D531" s="69"/>
    </row>
    <row r="532" spans="2:4">
      <c r="B532" s="68"/>
      <c r="C532" s="69" t="str">
        <f>IFERROR(VLOOKUP(B532,Roster!$A$2:$B$5000,2,FALSE),"-")</f>
        <v>-</v>
      </c>
      <c r="D532" s="69"/>
    </row>
    <row r="533" spans="2:4">
      <c r="B533" s="68"/>
      <c r="C533" s="69" t="str">
        <f>IFERROR(VLOOKUP(B533,Roster!$A$2:$B$5000,2,FALSE),"-")</f>
        <v>-</v>
      </c>
      <c r="D533" s="69"/>
    </row>
    <row r="534" spans="2:4">
      <c r="B534" s="68"/>
      <c r="C534" s="69" t="str">
        <f>IFERROR(VLOOKUP(B534,Roster!$A$2:$B$5000,2,FALSE),"-")</f>
        <v>-</v>
      </c>
      <c r="D534" s="69"/>
    </row>
    <row r="535" spans="2:4">
      <c r="B535" s="68"/>
      <c r="C535" s="69" t="str">
        <f>IFERROR(VLOOKUP(B535,Roster!$A$2:$B$5000,2,FALSE),"-")</f>
        <v>-</v>
      </c>
      <c r="D535" s="69"/>
    </row>
    <row r="536" spans="2:4">
      <c r="B536" s="68"/>
      <c r="C536" s="69" t="str">
        <f>IFERROR(VLOOKUP(B536,Roster!$A$2:$B$5000,2,FALSE),"-")</f>
        <v>-</v>
      </c>
      <c r="D536" s="69"/>
    </row>
    <row r="537" spans="2:4">
      <c r="B537" s="68"/>
      <c r="C537" s="69" t="str">
        <f>IFERROR(VLOOKUP(B537,Roster!$A$2:$B$5000,2,FALSE),"-")</f>
        <v>-</v>
      </c>
      <c r="D537" s="69"/>
    </row>
    <row r="538" spans="2:4">
      <c r="B538" s="68"/>
      <c r="C538" s="69" t="str">
        <f>IFERROR(VLOOKUP(B538,Roster!$A$2:$B$5000,2,FALSE),"-")</f>
        <v>-</v>
      </c>
      <c r="D538" s="69"/>
    </row>
    <row r="539" spans="2:4">
      <c r="B539" s="68"/>
      <c r="C539" s="69" t="str">
        <f>IFERROR(VLOOKUP(B539,Roster!$A$2:$B$5000,2,FALSE),"-")</f>
        <v>-</v>
      </c>
      <c r="D539" s="69"/>
    </row>
    <row r="540" spans="2:4">
      <c r="B540" s="68"/>
      <c r="C540" s="69" t="str">
        <f>IFERROR(VLOOKUP(B540,Roster!$A$2:$B$5000,2,FALSE),"-")</f>
        <v>-</v>
      </c>
      <c r="D540" s="69"/>
    </row>
    <row r="541" spans="2:4">
      <c r="B541" s="68"/>
      <c r="C541" s="69" t="str">
        <f>IFERROR(VLOOKUP(B541,Roster!$A$2:$B$5000,2,FALSE),"-")</f>
        <v>-</v>
      </c>
      <c r="D541" s="69"/>
    </row>
    <row r="542" spans="2:4">
      <c r="B542" s="68"/>
      <c r="C542" s="69" t="str">
        <f>IFERROR(VLOOKUP(B542,Roster!$A$2:$B$5000,2,FALSE),"-")</f>
        <v>-</v>
      </c>
      <c r="D542" s="69"/>
    </row>
    <row r="543" spans="2:4">
      <c r="B543" s="68"/>
      <c r="C543" s="69" t="str">
        <f>IFERROR(VLOOKUP(B543,Roster!$A$2:$B$5000,2,FALSE),"-")</f>
        <v>-</v>
      </c>
      <c r="D543" s="69"/>
    </row>
    <row r="544" spans="2:4">
      <c r="B544" s="68"/>
      <c r="C544" s="69" t="str">
        <f>IFERROR(VLOOKUP(B544,Roster!$A$2:$B$5000,2,FALSE),"-")</f>
        <v>-</v>
      </c>
      <c r="D544" s="69"/>
    </row>
    <row r="545" spans="2:4">
      <c r="B545" s="68"/>
      <c r="C545" s="69" t="str">
        <f>IFERROR(VLOOKUP(B545,Roster!$A$2:$B$5000,2,FALSE),"-")</f>
        <v>-</v>
      </c>
      <c r="D545" s="69"/>
    </row>
    <row r="546" spans="2:4">
      <c r="B546" s="68"/>
      <c r="C546" s="69" t="str">
        <f>IFERROR(VLOOKUP(B546,Roster!$A$2:$B$5000,2,FALSE),"-")</f>
        <v>-</v>
      </c>
      <c r="D546" s="69"/>
    </row>
    <row r="547" spans="2:4">
      <c r="B547" s="68"/>
      <c r="C547" s="69" t="str">
        <f>IFERROR(VLOOKUP(B547,Roster!$A$2:$B$5000,2,FALSE),"-")</f>
        <v>-</v>
      </c>
      <c r="D547" s="69"/>
    </row>
    <row r="548" spans="2:4">
      <c r="B548" s="68"/>
      <c r="C548" s="69" t="str">
        <f>IFERROR(VLOOKUP(B548,Roster!$A$2:$B$5000,2,FALSE),"-")</f>
        <v>-</v>
      </c>
      <c r="D548" s="69"/>
    </row>
    <row r="549" spans="2:4">
      <c r="B549" s="68"/>
      <c r="C549" s="69" t="str">
        <f>IFERROR(VLOOKUP(B549,Roster!$A$2:$B$5000,2,FALSE),"-")</f>
        <v>-</v>
      </c>
      <c r="D549" s="69"/>
    </row>
    <row r="550" spans="2:4">
      <c r="B550" s="68"/>
      <c r="C550" s="69" t="str">
        <f>IFERROR(VLOOKUP(B550,Roster!$A$2:$B$5000,2,FALSE),"-")</f>
        <v>-</v>
      </c>
      <c r="D550" s="69"/>
    </row>
    <row r="551" spans="2:4">
      <c r="B551" s="68"/>
      <c r="C551" s="69" t="str">
        <f>IFERROR(VLOOKUP(B551,Roster!$A$2:$B$5000,2,FALSE),"-")</f>
        <v>-</v>
      </c>
      <c r="D551" s="69"/>
    </row>
    <row r="552" spans="2:4">
      <c r="B552" s="68"/>
      <c r="C552" s="69" t="str">
        <f>IFERROR(VLOOKUP(B552,Roster!$A$2:$B$5000,2,FALSE),"-")</f>
        <v>-</v>
      </c>
      <c r="D552" s="69"/>
    </row>
    <row r="553" spans="2:4">
      <c r="B553" s="68"/>
      <c r="C553" s="69" t="str">
        <f>IFERROR(VLOOKUP(B553,Roster!$A$2:$B$5000,2,FALSE),"-")</f>
        <v>-</v>
      </c>
      <c r="D553" s="69"/>
    </row>
    <row r="554" spans="2:4">
      <c r="B554" s="68"/>
      <c r="C554" s="69" t="str">
        <f>IFERROR(VLOOKUP(B554,Roster!$A$2:$B$5000,2,FALSE),"-")</f>
        <v>-</v>
      </c>
      <c r="D554" s="69"/>
    </row>
    <row r="555" spans="2:4">
      <c r="B555" s="68"/>
      <c r="C555" s="69" t="str">
        <f>IFERROR(VLOOKUP(B555,Roster!$A$2:$B$5000,2,FALSE),"-")</f>
        <v>-</v>
      </c>
      <c r="D555" s="69"/>
    </row>
    <row r="556" spans="2:4">
      <c r="B556" s="68"/>
      <c r="C556" s="69" t="str">
        <f>IFERROR(VLOOKUP(B556,Roster!$A$2:$B$5000,2,FALSE),"-")</f>
        <v>-</v>
      </c>
      <c r="D556" s="69"/>
    </row>
    <row r="557" spans="2:4">
      <c r="B557" s="68"/>
      <c r="C557" s="69" t="str">
        <f>IFERROR(VLOOKUP(B557,Roster!$A$2:$B$5000,2,FALSE),"-")</f>
        <v>-</v>
      </c>
      <c r="D557" s="69"/>
    </row>
    <row r="558" spans="2:4">
      <c r="B558" s="68"/>
      <c r="C558" s="69" t="str">
        <f>IFERROR(VLOOKUP(B558,Roster!$A$2:$B$5000,2,FALSE),"-")</f>
        <v>-</v>
      </c>
      <c r="D558" s="69"/>
    </row>
    <row r="559" spans="2:4">
      <c r="B559" s="68"/>
      <c r="C559" s="69" t="str">
        <f>IFERROR(VLOOKUP(B559,Roster!$A$2:$B$5000,2,FALSE),"-")</f>
        <v>-</v>
      </c>
      <c r="D559" s="69"/>
    </row>
    <row r="560" spans="2:4">
      <c r="B560" s="68"/>
      <c r="C560" s="69" t="str">
        <f>IFERROR(VLOOKUP(B560,Roster!$A$2:$B$5000,2,FALSE),"-")</f>
        <v>-</v>
      </c>
      <c r="D560" s="69"/>
    </row>
    <row r="561" spans="2:4">
      <c r="B561" s="68"/>
      <c r="C561" s="69" t="str">
        <f>IFERROR(VLOOKUP(B561,Roster!$A$2:$B$5000,2,FALSE),"-")</f>
        <v>-</v>
      </c>
      <c r="D561" s="69"/>
    </row>
    <row r="562" spans="2:4">
      <c r="B562" s="68"/>
      <c r="C562" s="69" t="str">
        <f>IFERROR(VLOOKUP(B562,Roster!$A$2:$B$5000,2,FALSE),"-")</f>
        <v>-</v>
      </c>
      <c r="D562" s="69"/>
    </row>
    <row r="563" spans="2:4">
      <c r="B563" s="68"/>
      <c r="C563" s="69" t="str">
        <f>IFERROR(VLOOKUP(B563,Roster!$A$2:$B$5000,2,FALSE),"-")</f>
        <v>-</v>
      </c>
      <c r="D563" s="69"/>
    </row>
    <row r="564" spans="2:4">
      <c r="B564" s="68"/>
      <c r="C564" s="69" t="str">
        <f>IFERROR(VLOOKUP(B564,Roster!$A$2:$B$5000,2,FALSE),"-")</f>
        <v>-</v>
      </c>
      <c r="D564" s="69"/>
    </row>
    <row r="565" spans="2:4">
      <c r="B565" s="68"/>
      <c r="C565" s="69" t="str">
        <f>IFERROR(VLOOKUP(B565,Roster!$A$2:$B$5000,2,FALSE),"-")</f>
        <v>-</v>
      </c>
      <c r="D565" s="69"/>
    </row>
    <row r="566" spans="2:4">
      <c r="B566" s="68"/>
      <c r="C566" s="69" t="str">
        <f>IFERROR(VLOOKUP(B566,Roster!$A$2:$B$5000,2,FALSE),"-")</f>
        <v>-</v>
      </c>
      <c r="D566" s="69"/>
    </row>
    <row r="567" spans="2:4">
      <c r="B567" s="68"/>
      <c r="C567" s="69" t="str">
        <f>IFERROR(VLOOKUP(B567,Roster!$A$2:$B$5000,2,FALSE),"-")</f>
        <v>-</v>
      </c>
      <c r="D567" s="69"/>
    </row>
    <row r="568" spans="2:4">
      <c r="B568" s="68"/>
      <c r="C568" s="69" t="str">
        <f>IFERROR(VLOOKUP(B568,Roster!$A$2:$B$5000,2,FALSE),"-")</f>
        <v>-</v>
      </c>
      <c r="D568" s="69"/>
    </row>
    <row r="569" spans="2:4">
      <c r="B569" s="68"/>
      <c r="C569" s="69" t="str">
        <f>IFERROR(VLOOKUP(B569,Roster!$A$2:$B$5000,2,FALSE),"-")</f>
        <v>-</v>
      </c>
      <c r="D569" s="69"/>
    </row>
    <row r="570" spans="2:4">
      <c r="B570" s="68"/>
      <c r="C570" s="69" t="str">
        <f>IFERROR(VLOOKUP(B570,Roster!$A$2:$B$5000,2,FALSE),"-")</f>
        <v>-</v>
      </c>
      <c r="D570" s="69"/>
    </row>
    <row r="571" spans="2:4">
      <c r="B571" s="68"/>
      <c r="C571" s="69" t="str">
        <f>IFERROR(VLOOKUP(B571,Roster!$A$2:$B$5000,2,FALSE),"-")</f>
        <v>-</v>
      </c>
      <c r="D571" s="69"/>
    </row>
    <row r="572" spans="2:4">
      <c r="B572" s="68"/>
      <c r="C572" s="69" t="str">
        <f>IFERROR(VLOOKUP(B572,Roster!$A$2:$B$5000,2,FALSE),"-")</f>
        <v>-</v>
      </c>
      <c r="D572" s="69"/>
    </row>
    <row r="573" spans="2:4">
      <c r="B573" s="68"/>
      <c r="C573" s="69" t="str">
        <f>IFERROR(VLOOKUP(B573,Roster!$A$2:$B$5000,2,FALSE),"-")</f>
        <v>-</v>
      </c>
      <c r="D573" s="69"/>
    </row>
    <row r="574" spans="2:4">
      <c r="B574" s="68"/>
      <c r="C574" s="69" t="str">
        <f>IFERROR(VLOOKUP(B574,Roster!$A$2:$B$5000,2,FALSE),"-")</f>
        <v>-</v>
      </c>
      <c r="D574" s="69"/>
    </row>
    <row r="575" spans="2:4">
      <c r="B575" s="68"/>
      <c r="C575" s="69" t="str">
        <f>IFERROR(VLOOKUP(B575,Roster!$A$2:$B$5000,2,FALSE),"-")</f>
        <v>-</v>
      </c>
      <c r="D575" s="69"/>
    </row>
    <row r="576" spans="2:4">
      <c r="B576" s="68"/>
      <c r="C576" s="69" t="str">
        <f>IFERROR(VLOOKUP(B576,Roster!$A$2:$B$5000,2,FALSE),"-")</f>
        <v>-</v>
      </c>
      <c r="D576" s="69"/>
    </row>
    <row r="577" spans="2:4">
      <c r="B577" s="68"/>
      <c r="C577" s="69" t="str">
        <f>IFERROR(VLOOKUP(B577,Roster!$A$2:$B$5000,2,FALSE),"-")</f>
        <v>-</v>
      </c>
      <c r="D577" s="69"/>
    </row>
    <row r="578" spans="2:4">
      <c r="B578" s="68"/>
      <c r="C578" s="69" t="str">
        <f>IFERROR(VLOOKUP(B578,Roster!$A$2:$B$5000,2,FALSE),"-")</f>
        <v>-</v>
      </c>
      <c r="D578" s="69"/>
    </row>
    <row r="579" spans="2:4">
      <c r="B579" s="68"/>
      <c r="C579" s="69" t="str">
        <f>IFERROR(VLOOKUP(B579,Roster!$A$2:$B$5000,2,FALSE),"-")</f>
        <v>-</v>
      </c>
      <c r="D579" s="69"/>
    </row>
    <row r="580" spans="2:4">
      <c r="B580" s="68"/>
      <c r="C580" s="69" t="str">
        <f>IFERROR(VLOOKUP(B580,Roster!$A$2:$B$5000,2,FALSE),"-")</f>
        <v>-</v>
      </c>
      <c r="D580" s="69"/>
    </row>
    <row r="581" spans="2:4">
      <c r="B581" s="68"/>
      <c r="C581" s="69" t="str">
        <f>IFERROR(VLOOKUP(B581,Roster!$A$2:$B$5000,2,FALSE),"-")</f>
        <v>-</v>
      </c>
      <c r="D581" s="69"/>
    </row>
    <row r="582" spans="2:4">
      <c r="B582" s="68"/>
      <c r="C582" s="69" t="str">
        <f>IFERROR(VLOOKUP(B582,Roster!$A$2:$B$5000,2,FALSE),"-")</f>
        <v>-</v>
      </c>
      <c r="D582" s="69"/>
    </row>
    <row r="583" spans="2:4">
      <c r="B583" s="68"/>
      <c r="C583" s="69" t="str">
        <f>IFERROR(VLOOKUP(B583,Roster!$A$2:$B$5000,2,FALSE),"-")</f>
        <v>-</v>
      </c>
      <c r="D583" s="69"/>
    </row>
    <row r="584" spans="2:4">
      <c r="B584" s="68"/>
      <c r="C584" s="69" t="str">
        <f>IFERROR(VLOOKUP(B584,Roster!$A$2:$B$5000,2,FALSE),"-")</f>
        <v>-</v>
      </c>
      <c r="D584" s="69"/>
    </row>
    <row r="585" spans="2:4">
      <c r="B585" s="68"/>
      <c r="C585" s="69" t="str">
        <f>IFERROR(VLOOKUP(B585,Roster!$A$2:$B$5000,2,FALSE),"-")</f>
        <v>-</v>
      </c>
      <c r="D585" s="69"/>
    </row>
    <row r="586" spans="2:4">
      <c r="B586" s="68"/>
      <c r="C586" s="69" t="str">
        <f>IFERROR(VLOOKUP(B586,Roster!$A$2:$B$5000,2,FALSE),"-")</f>
        <v>-</v>
      </c>
      <c r="D586" s="69"/>
    </row>
    <row r="587" spans="2:4">
      <c r="B587" s="68"/>
      <c r="C587" s="69" t="str">
        <f>IFERROR(VLOOKUP(B587,Roster!$A$2:$B$5000,2,FALSE),"-")</f>
        <v>-</v>
      </c>
      <c r="D587" s="69"/>
    </row>
    <row r="588" spans="2:4">
      <c r="B588" s="68"/>
      <c r="C588" s="69" t="str">
        <f>IFERROR(VLOOKUP(B588,Roster!$A$2:$B$5000,2,FALSE),"-")</f>
        <v>-</v>
      </c>
      <c r="D588" s="69"/>
    </row>
    <row r="589" spans="2:4">
      <c r="B589" s="68"/>
      <c r="C589" s="69" t="str">
        <f>IFERROR(VLOOKUP(B589,Roster!$A$2:$B$5000,2,FALSE),"-")</f>
        <v>-</v>
      </c>
      <c r="D589" s="69"/>
    </row>
    <row r="590" spans="2:4">
      <c r="B590" s="68"/>
      <c r="C590" s="69" t="str">
        <f>IFERROR(VLOOKUP(B590,Roster!$A$2:$B$5000,2,FALSE),"-")</f>
        <v>-</v>
      </c>
      <c r="D590" s="69"/>
    </row>
    <row r="591" spans="2:4">
      <c r="B591" s="68"/>
      <c r="C591" s="69" t="str">
        <f>IFERROR(VLOOKUP(B591,Roster!$A$2:$B$5000,2,FALSE),"-")</f>
        <v>-</v>
      </c>
      <c r="D591" s="69"/>
    </row>
    <row r="592" spans="2:4">
      <c r="B592" s="68"/>
      <c r="C592" s="69" t="str">
        <f>IFERROR(VLOOKUP(B592,Roster!$A$2:$B$5000,2,FALSE),"-")</f>
        <v>-</v>
      </c>
      <c r="D592" s="69"/>
    </row>
    <row r="593" spans="2:4">
      <c r="B593" s="68"/>
      <c r="C593" s="69" t="str">
        <f>IFERROR(VLOOKUP(B593,Roster!$A$2:$B$5000,2,FALSE),"-")</f>
        <v>-</v>
      </c>
      <c r="D593" s="69"/>
    </row>
    <row r="594" spans="2:4">
      <c r="B594" s="68"/>
      <c r="C594" s="69" t="str">
        <f>IFERROR(VLOOKUP(B594,Roster!$A$2:$B$5000,2,FALSE),"-")</f>
        <v>-</v>
      </c>
      <c r="D594" s="69"/>
    </row>
    <row r="595" spans="2:4">
      <c r="B595" s="68"/>
      <c r="C595" s="69" t="str">
        <f>IFERROR(VLOOKUP(B595,Roster!$A$2:$B$5000,2,FALSE),"-")</f>
        <v>-</v>
      </c>
      <c r="D595" s="69"/>
    </row>
    <row r="596" spans="2:4">
      <c r="B596" s="68"/>
      <c r="C596" s="69" t="str">
        <f>IFERROR(VLOOKUP(B596,Roster!$A$2:$B$5000,2,FALSE),"-")</f>
        <v>-</v>
      </c>
      <c r="D596" s="69"/>
    </row>
    <row r="597" spans="2:4">
      <c r="B597" s="68"/>
      <c r="C597" s="69" t="str">
        <f>IFERROR(VLOOKUP(B597,Roster!$A$2:$B$5000,2,FALSE),"-")</f>
        <v>-</v>
      </c>
      <c r="D597" s="69"/>
    </row>
    <row r="598" spans="2:4">
      <c r="B598" s="68"/>
      <c r="C598" s="69" t="str">
        <f>IFERROR(VLOOKUP(B598,Roster!$A$2:$B$5000,2,FALSE),"-")</f>
        <v>-</v>
      </c>
      <c r="D598" s="69"/>
    </row>
    <row r="599" spans="2:4">
      <c r="B599" s="68"/>
      <c r="C599" s="69" t="str">
        <f>IFERROR(VLOOKUP(B599,Roster!$A$2:$B$5000,2,FALSE),"-")</f>
        <v>-</v>
      </c>
      <c r="D599" s="69"/>
    </row>
    <row r="600" spans="2:4">
      <c r="B600" s="68"/>
      <c r="C600" s="69" t="str">
        <f>IFERROR(VLOOKUP(B600,Roster!$A$2:$B$5000,2,FALSE),"-")</f>
        <v>-</v>
      </c>
      <c r="D600" s="69"/>
    </row>
    <row r="601" spans="2:4">
      <c r="B601" s="68"/>
      <c r="C601" s="69" t="str">
        <f>IFERROR(VLOOKUP(B601,Roster!$A$2:$B$5000,2,FALSE),"-")</f>
        <v>-</v>
      </c>
      <c r="D601" s="69"/>
    </row>
    <row r="602" spans="2:4">
      <c r="B602" s="68"/>
      <c r="C602" s="69" t="str">
        <f>IFERROR(VLOOKUP(B602,Roster!$A$2:$B$5000,2,FALSE),"-")</f>
        <v>-</v>
      </c>
      <c r="D602" s="69"/>
    </row>
    <row r="603" spans="2:4">
      <c r="B603" s="68"/>
      <c r="C603" s="69" t="str">
        <f>IFERROR(VLOOKUP(B603,Roster!$A$2:$B$5000,2,FALSE),"-")</f>
        <v>-</v>
      </c>
      <c r="D603" s="69"/>
    </row>
    <row r="604" spans="2:4">
      <c r="B604" s="68"/>
      <c r="C604" s="69" t="str">
        <f>IFERROR(VLOOKUP(B604,Roster!$A$2:$B$5000,2,FALSE),"-")</f>
        <v>-</v>
      </c>
      <c r="D604" s="69"/>
    </row>
    <row r="605" spans="2:4">
      <c r="B605" s="68"/>
      <c r="C605" s="69" t="str">
        <f>IFERROR(VLOOKUP(B605,Roster!$A$2:$B$5000,2,FALSE),"-")</f>
        <v>-</v>
      </c>
      <c r="D605" s="69"/>
    </row>
    <row r="606" spans="2:4">
      <c r="B606" s="68"/>
      <c r="C606" s="69" t="str">
        <f>IFERROR(VLOOKUP(B606,Roster!$A$2:$B$5000,2,FALSE),"-")</f>
        <v>-</v>
      </c>
      <c r="D606" s="69"/>
    </row>
    <row r="607" spans="2:4">
      <c r="B607" s="68"/>
      <c r="C607" s="69" t="str">
        <f>IFERROR(VLOOKUP(B607,Roster!$A$2:$B$5000,2,FALSE),"-")</f>
        <v>-</v>
      </c>
      <c r="D607" s="69"/>
    </row>
    <row r="608" spans="2:4">
      <c r="B608" s="68"/>
      <c r="C608" s="69" t="str">
        <f>IFERROR(VLOOKUP(B608,Roster!$A$2:$B$5000,2,FALSE),"-")</f>
        <v>-</v>
      </c>
      <c r="D608" s="69"/>
    </row>
    <row r="609" spans="2:4">
      <c r="B609" s="68"/>
      <c r="C609" s="69" t="str">
        <f>IFERROR(VLOOKUP(B609,Roster!$A$2:$B$5000,2,FALSE),"-")</f>
        <v>-</v>
      </c>
      <c r="D609" s="69"/>
    </row>
    <row r="610" spans="2:4">
      <c r="B610" s="68"/>
      <c r="C610" s="69" t="str">
        <f>IFERROR(VLOOKUP(B610,Roster!$A$2:$B$5000,2,FALSE),"-")</f>
        <v>-</v>
      </c>
      <c r="D610" s="69"/>
    </row>
    <row r="611" spans="2:4">
      <c r="B611" s="68"/>
      <c r="C611" s="69" t="str">
        <f>IFERROR(VLOOKUP(B611,Roster!$A$2:$B$5000,2,FALSE),"-")</f>
        <v>-</v>
      </c>
      <c r="D611" s="69"/>
    </row>
    <row r="612" spans="2:4">
      <c r="B612" s="68"/>
      <c r="C612" s="69" t="str">
        <f>IFERROR(VLOOKUP(B612,Roster!$A$2:$B$5000,2,FALSE),"-")</f>
        <v>-</v>
      </c>
      <c r="D612" s="69"/>
    </row>
    <row r="613" spans="2:4">
      <c r="B613" s="68"/>
      <c r="C613" s="69" t="str">
        <f>IFERROR(VLOOKUP(B613,Roster!$A$2:$B$5000,2,FALSE),"-")</f>
        <v>-</v>
      </c>
      <c r="D613" s="69"/>
    </row>
    <row r="614" spans="2:4">
      <c r="B614" s="68"/>
      <c r="C614" s="69" t="str">
        <f>IFERROR(VLOOKUP(B614,Roster!$A$2:$B$5000,2,FALSE),"-")</f>
        <v>-</v>
      </c>
      <c r="D614" s="69"/>
    </row>
    <row r="615" spans="2:4">
      <c r="B615" s="68"/>
      <c r="C615" s="69" t="str">
        <f>IFERROR(VLOOKUP(B615,Roster!$A$2:$B$5000,2,FALSE),"-")</f>
        <v>-</v>
      </c>
      <c r="D615" s="69"/>
    </row>
    <row r="616" spans="2:4">
      <c r="B616" s="68"/>
      <c r="C616" s="69" t="str">
        <f>IFERROR(VLOOKUP(B616,Roster!$A$2:$B$5000,2,FALSE),"-")</f>
        <v>-</v>
      </c>
      <c r="D616" s="69"/>
    </row>
    <row r="617" spans="2:4">
      <c r="B617" s="68"/>
      <c r="C617" s="69" t="str">
        <f>IFERROR(VLOOKUP(B617,Roster!$A$2:$B$5000,2,FALSE),"-")</f>
        <v>-</v>
      </c>
      <c r="D617" s="69"/>
    </row>
    <row r="618" spans="2:4">
      <c r="B618" s="68"/>
      <c r="C618" s="69" t="str">
        <f>IFERROR(VLOOKUP(B618,Roster!$A$2:$B$5000,2,FALSE),"-")</f>
        <v>-</v>
      </c>
      <c r="D618" s="69"/>
    </row>
    <row r="619" spans="2:4">
      <c r="B619" s="68"/>
      <c r="C619" s="69" t="str">
        <f>IFERROR(VLOOKUP(B619,Roster!$A$2:$B$5000,2,FALSE),"-")</f>
        <v>-</v>
      </c>
      <c r="D619" s="69"/>
    </row>
    <row r="620" spans="2:4">
      <c r="B620" s="68"/>
      <c r="C620" s="69" t="str">
        <f>IFERROR(VLOOKUP(B620,Roster!$A$2:$B$5000,2,FALSE),"-")</f>
        <v>-</v>
      </c>
      <c r="D620" s="69"/>
    </row>
    <row r="621" spans="2:4">
      <c r="B621" s="68"/>
      <c r="C621" s="69" t="str">
        <f>IFERROR(VLOOKUP(B621,Roster!$A$2:$B$5000,2,FALSE),"-")</f>
        <v>-</v>
      </c>
      <c r="D621" s="69"/>
    </row>
    <row r="622" spans="2:4">
      <c r="B622" s="68"/>
      <c r="C622" s="69" t="str">
        <f>IFERROR(VLOOKUP(B622,Roster!$A$2:$B$5000,2,FALSE),"-")</f>
        <v>-</v>
      </c>
      <c r="D622" s="69"/>
    </row>
    <row r="623" spans="2:4">
      <c r="B623" s="68"/>
      <c r="C623" s="69" t="str">
        <f>IFERROR(VLOOKUP(B623,Roster!$A$2:$B$5000,2,FALSE),"-")</f>
        <v>-</v>
      </c>
      <c r="D623" s="69"/>
    </row>
    <row r="624" spans="2:4">
      <c r="B624" s="68"/>
      <c r="C624" s="69" t="str">
        <f>IFERROR(VLOOKUP(B624,Roster!$A$2:$B$5000,2,FALSE),"-")</f>
        <v>-</v>
      </c>
      <c r="D624" s="69"/>
    </row>
    <row r="625" spans="2:4">
      <c r="B625" s="68"/>
      <c r="C625" s="69" t="str">
        <f>IFERROR(VLOOKUP(B625,Roster!$A$2:$B$5000,2,FALSE),"-")</f>
        <v>-</v>
      </c>
      <c r="D625" s="69"/>
    </row>
    <row r="626" spans="2:4">
      <c r="B626" s="68"/>
      <c r="C626" s="69" t="str">
        <f>IFERROR(VLOOKUP(B626,Roster!$A$2:$B$5000,2,FALSE),"-")</f>
        <v>-</v>
      </c>
      <c r="D626" s="69"/>
    </row>
    <row r="627" spans="2:4">
      <c r="B627" s="68"/>
      <c r="C627" s="69" t="str">
        <f>IFERROR(VLOOKUP(B627,Roster!$A$2:$B$5000,2,FALSE),"-")</f>
        <v>-</v>
      </c>
      <c r="D627" s="69"/>
    </row>
    <row r="628" spans="2:4">
      <c r="B628" s="68"/>
      <c r="C628" s="69" t="str">
        <f>IFERROR(VLOOKUP(B628,Roster!$A$2:$B$5000,2,FALSE),"-")</f>
        <v>-</v>
      </c>
      <c r="D628" s="69"/>
    </row>
    <row r="629" spans="2:4">
      <c r="B629" s="68"/>
      <c r="C629" s="69" t="str">
        <f>IFERROR(VLOOKUP(B629,Roster!$A$2:$B$5000,2,FALSE),"-")</f>
        <v>-</v>
      </c>
      <c r="D629" s="69"/>
    </row>
    <row r="630" spans="2:4">
      <c r="B630" s="68"/>
      <c r="C630" s="69" t="str">
        <f>IFERROR(VLOOKUP(B630,Roster!$A$2:$B$5000,2,FALSE),"-")</f>
        <v>-</v>
      </c>
      <c r="D630" s="69"/>
    </row>
    <row r="631" spans="2:4">
      <c r="B631" s="68"/>
      <c r="C631" s="69" t="str">
        <f>IFERROR(VLOOKUP(B631,Roster!$A$2:$B$5000,2,FALSE),"-")</f>
        <v>-</v>
      </c>
      <c r="D631" s="69"/>
    </row>
    <row r="632" spans="2:4">
      <c r="B632" s="68"/>
      <c r="C632" s="69" t="str">
        <f>IFERROR(VLOOKUP(B632,Roster!$A$2:$B$5000,2,FALSE),"-")</f>
        <v>-</v>
      </c>
      <c r="D632" s="69"/>
    </row>
    <row r="633" spans="2:4">
      <c r="B633" s="68"/>
      <c r="C633" s="69" t="str">
        <f>IFERROR(VLOOKUP(B633,Roster!$A$2:$B$5000,2,FALSE),"-")</f>
        <v>-</v>
      </c>
      <c r="D633" s="69"/>
    </row>
    <row r="634" spans="2:4">
      <c r="B634" s="68"/>
      <c r="C634" s="69" t="str">
        <f>IFERROR(VLOOKUP(B634,Roster!$A$2:$B$5000,2,FALSE),"-")</f>
        <v>-</v>
      </c>
      <c r="D634" s="69"/>
    </row>
    <row r="635" spans="2:4">
      <c r="B635" s="68"/>
      <c r="C635" s="69" t="str">
        <f>IFERROR(VLOOKUP(B635,Roster!$A$2:$B$5000,2,FALSE),"-")</f>
        <v>-</v>
      </c>
      <c r="D635" s="69"/>
    </row>
    <row r="636" spans="2:4">
      <c r="B636" s="68"/>
      <c r="C636" s="69" t="str">
        <f>IFERROR(VLOOKUP(B636,Roster!$A$2:$B$5000,2,FALSE),"-")</f>
        <v>-</v>
      </c>
      <c r="D636" s="69"/>
    </row>
    <row r="637" spans="2:4">
      <c r="B637" s="68"/>
      <c r="C637" s="69" t="str">
        <f>IFERROR(VLOOKUP(B637,Roster!$A$2:$B$5000,2,FALSE),"-")</f>
        <v>-</v>
      </c>
      <c r="D637" s="69"/>
    </row>
    <row r="638" spans="2:4">
      <c r="B638" s="68"/>
      <c r="C638" s="69" t="str">
        <f>IFERROR(VLOOKUP(B638,Roster!$A$2:$B$5000,2,FALSE),"-")</f>
        <v>-</v>
      </c>
      <c r="D638" s="69"/>
    </row>
    <row r="639" spans="2:4">
      <c r="B639" s="68"/>
      <c r="C639" s="69" t="str">
        <f>IFERROR(VLOOKUP(B639,Roster!$A$2:$B$5000,2,FALSE),"-")</f>
        <v>-</v>
      </c>
      <c r="D639" s="69"/>
    </row>
    <row r="640" spans="2:4">
      <c r="B640" s="68"/>
      <c r="C640" s="69" t="str">
        <f>IFERROR(VLOOKUP(B640,Roster!$A$2:$B$5000,2,FALSE),"-")</f>
        <v>-</v>
      </c>
      <c r="D640" s="69"/>
    </row>
    <row r="641" spans="2:4">
      <c r="B641" s="68"/>
      <c r="C641" s="69" t="str">
        <f>IFERROR(VLOOKUP(B641,Roster!$A$2:$B$5000,2,FALSE),"-")</f>
        <v>-</v>
      </c>
      <c r="D641" s="69"/>
    </row>
    <row r="642" spans="2:4">
      <c r="B642" s="68"/>
      <c r="C642" s="69" t="str">
        <f>IFERROR(VLOOKUP(B642,Roster!$A$2:$B$5000,2,FALSE),"-")</f>
        <v>-</v>
      </c>
      <c r="D642" s="69"/>
    </row>
    <row r="643" spans="2:4">
      <c r="B643" s="68"/>
      <c r="C643" s="69" t="str">
        <f>IFERROR(VLOOKUP(B643,Roster!$A$2:$B$5000,2,FALSE),"-")</f>
        <v>-</v>
      </c>
      <c r="D643" s="69"/>
    </row>
    <row r="644" spans="2:4">
      <c r="B644" s="68"/>
      <c r="C644" s="69" t="str">
        <f>IFERROR(VLOOKUP(B644,Roster!$A$2:$B$5000,2,FALSE),"-")</f>
        <v>-</v>
      </c>
      <c r="D644" s="69"/>
    </row>
    <row r="645" spans="2:4">
      <c r="B645" s="68"/>
      <c r="C645" s="69" t="str">
        <f>IFERROR(VLOOKUP(B645,Roster!$A$2:$B$5000,2,FALSE),"-")</f>
        <v>-</v>
      </c>
      <c r="D645" s="69"/>
    </row>
    <row r="646" spans="2:4">
      <c r="B646" s="68"/>
      <c r="C646" s="69" t="str">
        <f>IFERROR(VLOOKUP(B646,Roster!$A$2:$B$5000,2,FALSE),"-")</f>
        <v>-</v>
      </c>
      <c r="D646" s="69"/>
    </row>
    <row r="647" spans="2:4">
      <c r="B647" s="68"/>
      <c r="C647" s="69" t="str">
        <f>IFERROR(VLOOKUP(B647,Roster!$A$2:$B$5000,2,FALSE),"-")</f>
        <v>-</v>
      </c>
      <c r="D647" s="69"/>
    </row>
    <row r="648" spans="2:4">
      <c r="B648" s="68"/>
      <c r="C648" s="69" t="str">
        <f>IFERROR(VLOOKUP(B648,Roster!$A$2:$B$5000,2,FALSE),"-")</f>
        <v>-</v>
      </c>
      <c r="D648" s="69"/>
    </row>
    <row r="649" spans="2:4">
      <c r="B649" s="68"/>
      <c r="C649" s="69" t="str">
        <f>IFERROR(VLOOKUP(B649,Roster!$A$2:$B$5000,2,FALSE),"-")</f>
        <v>-</v>
      </c>
      <c r="D649" s="69"/>
    </row>
    <row r="650" spans="2:4">
      <c r="B650" s="68"/>
      <c r="C650" s="69" t="str">
        <f>IFERROR(VLOOKUP(B650,Roster!$A$2:$B$5000,2,FALSE),"-")</f>
        <v>-</v>
      </c>
      <c r="D650" s="69"/>
    </row>
    <row r="651" spans="2:4">
      <c r="B651" s="68"/>
      <c r="C651" s="69" t="str">
        <f>IFERROR(VLOOKUP(B651,Roster!$A$2:$B$5000,2,FALSE),"-")</f>
        <v>-</v>
      </c>
      <c r="D651" s="69"/>
    </row>
    <row r="652" spans="2:4">
      <c r="B652" s="68"/>
      <c r="C652" s="69" t="str">
        <f>IFERROR(VLOOKUP(B652,Roster!$A$2:$B$5000,2,FALSE),"-")</f>
        <v>-</v>
      </c>
      <c r="D652" s="69"/>
    </row>
    <row r="653" spans="2:4">
      <c r="B653" s="68"/>
      <c r="C653" s="69" t="str">
        <f>IFERROR(VLOOKUP(B653,Roster!$A$2:$B$5000,2,FALSE),"-")</f>
        <v>-</v>
      </c>
      <c r="D653" s="69"/>
    </row>
    <row r="654" spans="2:4">
      <c r="B654" s="68"/>
      <c r="C654" s="69" t="str">
        <f>IFERROR(VLOOKUP(B654,Roster!$A$2:$B$5000,2,FALSE),"-")</f>
        <v>-</v>
      </c>
      <c r="D654" s="69"/>
    </row>
    <row r="655" spans="2:4">
      <c r="B655" s="68"/>
      <c r="C655" s="69" t="str">
        <f>IFERROR(VLOOKUP(B655,Roster!$A$2:$B$5000,2,FALSE),"-")</f>
        <v>-</v>
      </c>
      <c r="D655" s="69"/>
    </row>
    <row r="656" spans="2:4">
      <c r="B656" s="68"/>
      <c r="C656" s="69" t="str">
        <f>IFERROR(VLOOKUP(B656,Roster!$A$2:$B$5000,2,FALSE),"-")</f>
        <v>-</v>
      </c>
      <c r="D656" s="69"/>
    </row>
    <row r="657" spans="2:4">
      <c r="B657" s="68"/>
      <c r="C657" s="69" t="str">
        <f>IFERROR(VLOOKUP(B657,Roster!$A$2:$B$5000,2,FALSE),"-")</f>
        <v>-</v>
      </c>
      <c r="D657" s="69"/>
    </row>
    <row r="658" spans="2:4">
      <c r="B658" s="68"/>
      <c r="C658" s="69" t="str">
        <f>IFERROR(VLOOKUP(B658,Roster!$A$2:$B$5000,2,FALSE),"-")</f>
        <v>-</v>
      </c>
      <c r="D658" s="69"/>
    </row>
    <row r="659" spans="2:4">
      <c r="B659" s="68"/>
      <c r="C659" s="69" t="str">
        <f>IFERROR(VLOOKUP(B659,Roster!$A$2:$B$5000,2,FALSE),"-")</f>
        <v>-</v>
      </c>
      <c r="D659" s="69"/>
    </row>
    <row r="660" spans="2:4">
      <c r="B660" s="68"/>
      <c r="C660" s="69" t="str">
        <f>IFERROR(VLOOKUP(B660,Roster!$A$2:$B$5000,2,FALSE),"-")</f>
        <v>-</v>
      </c>
      <c r="D660" s="69"/>
    </row>
    <row r="661" spans="2:4">
      <c r="B661" s="68"/>
      <c r="C661" s="69" t="str">
        <f>IFERROR(VLOOKUP(B661,Roster!$A$2:$B$5000,2,FALSE),"-")</f>
        <v>-</v>
      </c>
      <c r="D661" s="69"/>
    </row>
    <row r="662" spans="2:4">
      <c r="B662" s="68"/>
      <c r="C662" s="69" t="str">
        <f>IFERROR(VLOOKUP(B662,Roster!$A$2:$B$5000,2,FALSE),"-")</f>
        <v>-</v>
      </c>
      <c r="D662" s="69"/>
    </row>
    <row r="663" spans="2:4">
      <c r="B663" s="68"/>
      <c r="C663" s="69" t="str">
        <f>IFERROR(VLOOKUP(B663,Roster!$A$2:$B$5000,2,FALSE),"-")</f>
        <v>-</v>
      </c>
      <c r="D663" s="69"/>
    </row>
    <row r="664" spans="2:4">
      <c r="B664" s="68"/>
      <c r="C664" s="69" t="str">
        <f>IFERROR(VLOOKUP(B664,Roster!$A$2:$B$5000,2,FALSE),"-")</f>
        <v>-</v>
      </c>
      <c r="D664" s="69"/>
    </row>
    <row r="665" spans="2:4">
      <c r="B665" s="68"/>
      <c r="C665" s="69" t="str">
        <f>IFERROR(VLOOKUP(B665,Roster!$A$2:$B$5000,2,FALSE),"-")</f>
        <v>-</v>
      </c>
      <c r="D665" s="69"/>
    </row>
    <row r="666" spans="2:4">
      <c r="B666" s="68"/>
      <c r="C666" s="69" t="str">
        <f>IFERROR(VLOOKUP(B666,Roster!$A$2:$B$5000,2,FALSE),"-")</f>
        <v>-</v>
      </c>
      <c r="D666" s="69"/>
    </row>
    <row r="667" spans="2:4">
      <c r="B667" s="68"/>
      <c r="C667" s="69" t="str">
        <f>IFERROR(VLOOKUP(B667,Roster!$A$2:$B$5000,2,FALSE),"-")</f>
        <v>-</v>
      </c>
      <c r="D667" s="69"/>
    </row>
    <row r="668" spans="2:4">
      <c r="B668" s="68"/>
      <c r="C668" s="69" t="str">
        <f>IFERROR(VLOOKUP(B668,Roster!$A$2:$B$5000,2,FALSE),"-")</f>
        <v>-</v>
      </c>
      <c r="D668" s="69"/>
    </row>
    <row r="669" spans="2:4">
      <c r="B669" s="68"/>
      <c r="C669" s="69" t="str">
        <f>IFERROR(VLOOKUP(B669,Roster!$A$2:$B$5000,2,FALSE),"-")</f>
        <v>-</v>
      </c>
      <c r="D669" s="69"/>
    </row>
    <row r="670" spans="2:4">
      <c r="B670" s="68"/>
      <c r="C670" s="69" t="str">
        <f>IFERROR(VLOOKUP(B670,Roster!$A$2:$B$5000,2,FALSE),"-")</f>
        <v>-</v>
      </c>
      <c r="D670" s="69"/>
    </row>
    <row r="671" spans="2:4">
      <c r="B671" s="68"/>
      <c r="C671" s="69" t="str">
        <f>IFERROR(VLOOKUP(B671,Roster!$A$2:$B$5000,2,FALSE),"-")</f>
        <v>-</v>
      </c>
      <c r="D671" s="69"/>
    </row>
    <row r="672" spans="2:4">
      <c r="B672" s="68"/>
      <c r="C672" s="69" t="str">
        <f>IFERROR(VLOOKUP(B672,Roster!$A$2:$B$5000,2,FALSE),"-")</f>
        <v>-</v>
      </c>
      <c r="D672" s="69"/>
    </row>
    <row r="673" spans="2:4">
      <c r="B673" s="68"/>
      <c r="C673" s="69" t="str">
        <f>IFERROR(VLOOKUP(B673,Roster!$A$2:$B$5000,2,FALSE),"-")</f>
        <v>-</v>
      </c>
      <c r="D673" s="69"/>
    </row>
    <row r="674" spans="2:4">
      <c r="B674" s="68"/>
      <c r="C674" s="69" t="str">
        <f>IFERROR(VLOOKUP(B674,Roster!$A$2:$B$5000,2,FALSE),"-")</f>
        <v>-</v>
      </c>
      <c r="D674" s="69"/>
    </row>
    <row r="675" spans="2:4">
      <c r="B675" s="68"/>
      <c r="C675" s="69" t="str">
        <f>IFERROR(VLOOKUP(B675,Roster!$A$2:$B$5000,2,FALSE),"-")</f>
        <v>-</v>
      </c>
      <c r="D675" s="69"/>
    </row>
    <row r="676" spans="2:4">
      <c r="B676" s="68"/>
      <c r="C676" s="69" t="str">
        <f>IFERROR(VLOOKUP(B676,Roster!$A$2:$B$5000,2,FALSE),"-")</f>
        <v>-</v>
      </c>
      <c r="D676" s="69"/>
    </row>
    <row r="677" spans="2:4">
      <c r="B677" s="68"/>
      <c r="C677" s="69" t="str">
        <f>IFERROR(VLOOKUP(B677,Roster!$A$2:$B$5000,2,FALSE),"-")</f>
        <v>-</v>
      </c>
      <c r="D677" s="69"/>
    </row>
    <row r="678" spans="2:4">
      <c r="B678" s="68"/>
      <c r="C678" s="69" t="str">
        <f>IFERROR(VLOOKUP(B678,Roster!$A$2:$B$5000,2,FALSE),"-")</f>
        <v>-</v>
      </c>
      <c r="D678" s="69"/>
    </row>
    <row r="679" spans="2:4">
      <c r="B679" s="68"/>
      <c r="C679" s="69" t="str">
        <f>IFERROR(VLOOKUP(B679,Roster!$A$2:$B$5000,2,FALSE),"-")</f>
        <v>-</v>
      </c>
      <c r="D679" s="69"/>
    </row>
    <row r="680" spans="2:4">
      <c r="B680" s="68"/>
      <c r="C680" s="69" t="str">
        <f>IFERROR(VLOOKUP(B680,Roster!$A$2:$B$5000,2,FALSE),"-")</f>
        <v>-</v>
      </c>
      <c r="D680" s="69"/>
    </row>
    <row r="681" spans="2:4">
      <c r="B681" s="68"/>
      <c r="C681" s="69" t="str">
        <f>IFERROR(VLOOKUP(B681,Roster!$A$2:$B$5000,2,FALSE),"-")</f>
        <v>-</v>
      </c>
      <c r="D681" s="69"/>
    </row>
    <row r="682" spans="2:4">
      <c r="B682" s="68"/>
      <c r="C682" s="69" t="str">
        <f>IFERROR(VLOOKUP(B682,Roster!$A$2:$B$5000,2,FALSE),"-")</f>
        <v>-</v>
      </c>
      <c r="D682" s="69"/>
    </row>
    <row r="683" spans="2:4">
      <c r="B683" s="68"/>
      <c r="C683" s="69" t="str">
        <f>IFERROR(VLOOKUP(B683,Roster!$A$2:$B$5000,2,FALSE),"-")</f>
        <v>-</v>
      </c>
      <c r="D683" s="69"/>
    </row>
    <row r="684" spans="2:4">
      <c r="B684" s="68"/>
      <c r="C684" s="69" t="str">
        <f>IFERROR(VLOOKUP(B684,Roster!$A$2:$B$5000,2,FALSE),"-")</f>
        <v>-</v>
      </c>
      <c r="D684" s="69"/>
    </row>
    <row r="685" spans="2:4">
      <c r="B685" s="68"/>
      <c r="C685" s="69" t="str">
        <f>IFERROR(VLOOKUP(B685,Roster!$A$2:$B$5000,2,FALSE),"-")</f>
        <v>-</v>
      </c>
      <c r="D685" s="69"/>
    </row>
    <row r="686" spans="2:4">
      <c r="B686" s="68"/>
      <c r="C686" s="69" t="str">
        <f>IFERROR(VLOOKUP(B686,Roster!$A$2:$B$5000,2,FALSE),"-")</f>
        <v>-</v>
      </c>
      <c r="D686" s="69"/>
    </row>
    <row r="687" spans="2:4">
      <c r="B687" s="68"/>
      <c r="C687" s="69" t="str">
        <f>IFERROR(VLOOKUP(B687,Roster!$A$2:$B$5000,2,FALSE),"-")</f>
        <v>-</v>
      </c>
      <c r="D687" s="69"/>
    </row>
    <row r="688" spans="2:4">
      <c r="B688" s="68"/>
      <c r="C688" s="69" t="str">
        <f>IFERROR(VLOOKUP(B688,Roster!$A$2:$B$5000,2,FALSE),"-")</f>
        <v>-</v>
      </c>
      <c r="D688" s="69"/>
    </row>
    <row r="689" spans="2:4">
      <c r="B689" s="68"/>
      <c r="C689" s="69" t="str">
        <f>IFERROR(VLOOKUP(B689,Roster!$A$2:$B$5000,2,FALSE),"-")</f>
        <v>-</v>
      </c>
      <c r="D689" s="69"/>
    </row>
    <row r="690" spans="2:4">
      <c r="B690" s="68"/>
      <c r="C690" s="69" t="str">
        <f>IFERROR(VLOOKUP(B690,Roster!$A$2:$B$5000,2,FALSE),"-")</f>
        <v>-</v>
      </c>
      <c r="D690" s="69"/>
    </row>
    <row r="691" spans="2:4">
      <c r="B691" s="68"/>
      <c r="C691" s="69" t="str">
        <f>IFERROR(VLOOKUP(B691,Roster!$A$2:$B$5000,2,FALSE),"-")</f>
        <v>-</v>
      </c>
      <c r="D691" s="69"/>
    </row>
    <row r="692" spans="2:4">
      <c r="B692" s="68"/>
      <c r="C692" s="69" t="str">
        <f>IFERROR(VLOOKUP(B692,Roster!$A$2:$B$5000,2,FALSE),"-")</f>
        <v>-</v>
      </c>
      <c r="D692" s="69"/>
    </row>
    <row r="693" spans="2:4">
      <c r="B693" s="68"/>
      <c r="C693" s="69" t="str">
        <f>IFERROR(VLOOKUP(B693,Roster!$A$2:$B$5000,2,FALSE),"-")</f>
        <v>-</v>
      </c>
      <c r="D693" s="69"/>
    </row>
    <row r="694" spans="2:4">
      <c r="B694" s="68"/>
      <c r="C694" s="69" t="str">
        <f>IFERROR(VLOOKUP(B694,Roster!$A$2:$B$5000,2,FALSE),"-")</f>
        <v>-</v>
      </c>
      <c r="D694" s="69"/>
    </row>
    <row r="695" spans="2:4">
      <c r="B695" s="68"/>
      <c r="C695" s="69" t="str">
        <f>IFERROR(VLOOKUP(B695,Roster!$A$2:$B$5000,2,FALSE),"-")</f>
        <v>-</v>
      </c>
      <c r="D695" s="69"/>
    </row>
    <row r="696" spans="2:4">
      <c r="B696" s="68"/>
      <c r="C696" s="69" t="str">
        <f>IFERROR(VLOOKUP(B696,Roster!$A$2:$B$5000,2,FALSE),"-")</f>
        <v>-</v>
      </c>
      <c r="D696" s="69"/>
    </row>
    <row r="697" spans="2:4">
      <c r="B697" s="68"/>
      <c r="C697" s="69" t="str">
        <f>IFERROR(VLOOKUP(B697,Roster!$A$2:$B$5000,2,FALSE),"-")</f>
        <v>-</v>
      </c>
      <c r="D697" s="69"/>
    </row>
    <row r="698" spans="2:4">
      <c r="B698" s="68"/>
      <c r="C698" s="69" t="str">
        <f>IFERROR(VLOOKUP(B698,Roster!$A$2:$B$5000,2,FALSE),"-")</f>
        <v>-</v>
      </c>
      <c r="D698" s="69"/>
    </row>
    <row r="699" spans="2:4">
      <c r="B699" s="68"/>
      <c r="C699" s="69" t="str">
        <f>IFERROR(VLOOKUP(B699,Roster!$A$2:$B$5000,2,FALSE),"-")</f>
        <v>-</v>
      </c>
      <c r="D699" s="69"/>
    </row>
    <row r="700" spans="2:4">
      <c r="B700" s="68"/>
      <c r="C700" s="69" t="str">
        <f>IFERROR(VLOOKUP(B700,Roster!$A$2:$B$5000,2,FALSE),"-")</f>
        <v>-</v>
      </c>
      <c r="D700" s="69"/>
    </row>
    <row r="701" spans="2:4">
      <c r="B701" s="68"/>
      <c r="C701" s="69" t="str">
        <f>IFERROR(VLOOKUP(B701,Roster!$A$2:$B$5000,2,FALSE),"-")</f>
        <v>-</v>
      </c>
      <c r="D701" s="69"/>
    </row>
    <row r="702" spans="2:4">
      <c r="B702" s="68"/>
      <c r="C702" s="69" t="str">
        <f>IFERROR(VLOOKUP(B702,Roster!$A$2:$B$5000,2,FALSE),"-")</f>
        <v>-</v>
      </c>
      <c r="D702" s="69"/>
    </row>
    <row r="703" spans="2:4">
      <c r="B703" s="68"/>
      <c r="C703" s="69" t="str">
        <f>IFERROR(VLOOKUP(B703,Roster!$A$2:$B$5000,2,FALSE),"-")</f>
        <v>-</v>
      </c>
      <c r="D703" s="69"/>
    </row>
    <row r="704" spans="2:4">
      <c r="B704" s="68"/>
      <c r="C704" s="69" t="str">
        <f>IFERROR(VLOOKUP(B704,Roster!$A$2:$B$5000,2,FALSE),"-")</f>
        <v>-</v>
      </c>
      <c r="D704" s="69"/>
    </row>
    <row r="705" spans="2:4">
      <c r="B705" s="68"/>
      <c r="C705" s="69" t="str">
        <f>IFERROR(VLOOKUP(B705,Roster!$A$2:$B$5000,2,FALSE),"-")</f>
        <v>-</v>
      </c>
      <c r="D705" s="69"/>
    </row>
    <row r="706" spans="2:4">
      <c r="B706" s="68"/>
      <c r="C706" s="69" t="str">
        <f>IFERROR(VLOOKUP(B706,Roster!$A$2:$B$5000,2,FALSE),"-")</f>
        <v>-</v>
      </c>
      <c r="D706" s="69"/>
    </row>
    <row r="707" spans="2:4">
      <c r="B707" s="68"/>
      <c r="C707" s="69" t="str">
        <f>IFERROR(VLOOKUP(B707,Roster!$A$2:$B$5000,2,FALSE),"-")</f>
        <v>-</v>
      </c>
      <c r="D707" s="69"/>
    </row>
    <row r="708" spans="2:4">
      <c r="B708" s="68"/>
      <c r="C708" s="69" t="str">
        <f>IFERROR(VLOOKUP(B708,Roster!$A$2:$B$5000,2,FALSE),"-")</f>
        <v>-</v>
      </c>
      <c r="D708" s="69"/>
    </row>
    <row r="709" spans="2:4">
      <c r="B709" s="68"/>
      <c r="C709" s="69" t="str">
        <f>IFERROR(VLOOKUP(B709,Roster!$A$2:$B$5000,2,FALSE),"-")</f>
        <v>-</v>
      </c>
      <c r="D709" s="69"/>
    </row>
    <row r="710" spans="2:4">
      <c r="B710" s="68"/>
      <c r="C710" s="69" t="str">
        <f>IFERROR(VLOOKUP(B710,Roster!$A$2:$B$5000,2,FALSE),"-")</f>
        <v>-</v>
      </c>
      <c r="D710" s="69"/>
    </row>
    <row r="711" spans="2:4">
      <c r="B711" s="68"/>
      <c r="C711" s="69" t="str">
        <f>IFERROR(VLOOKUP(B711,Roster!$A$2:$B$5000,2,FALSE),"-")</f>
        <v>-</v>
      </c>
      <c r="D711" s="69"/>
    </row>
    <row r="712" spans="2:4">
      <c r="B712" s="68"/>
      <c r="C712" s="69" t="str">
        <f>IFERROR(VLOOKUP(B712,Roster!$A$2:$B$5000,2,FALSE),"-")</f>
        <v>-</v>
      </c>
      <c r="D712" s="69"/>
    </row>
    <row r="713" spans="2:4">
      <c r="B713" s="68"/>
      <c r="C713" s="69" t="str">
        <f>IFERROR(VLOOKUP(B713,Roster!$A$2:$B$5000,2,FALSE),"-")</f>
        <v>-</v>
      </c>
      <c r="D713" s="69"/>
    </row>
    <row r="714" spans="2:4">
      <c r="B714" s="68"/>
      <c r="C714" s="69" t="str">
        <f>IFERROR(VLOOKUP(B714,Roster!$A$2:$B$5000,2,FALSE),"-")</f>
        <v>-</v>
      </c>
      <c r="D714" s="69"/>
    </row>
    <row r="715" spans="2:4">
      <c r="B715" s="68"/>
      <c r="C715" s="69" t="str">
        <f>IFERROR(VLOOKUP(B715,Roster!$A$2:$B$5000,2,FALSE),"-")</f>
        <v>-</v>
      </c>
      <c r="D715" s="69"/>
    </row>
    <row r="716" spans="2:4">
      <c r="B716" s="68"/>
      <c r="C716" s="69" t="str">
        <f>IFERROR(VLOOKUP(B716,Roster!$A$2:$B$5000,2,FALSE),"-")</f>
        <v>-</v>
      </c>
      <c r="D716" s="69"/>
    </row>
    <row r="717" spans="2:4">
      <c r="B717" s="68"/>
      <c r="C717" s="69" t="str">
        <f>IFERROR(VLOOKUP(B717,Roster!$A$2:$B$5000,2,FALSE),"-")</f>
        <v>-</v>
      </c>
      <c r="D717" s="69"/>
    </row>
    <row r="718" spans="2:4">
      <c r="B718" s="68"/>
      <c r="C718" s="69" t="str">
        <f>IFERROR(VLOOKUP(B718,Roster!$A$2:$B$5000,2,FALSE),"-")</f>
        <v>-</v>
      </c>
      <c r="D718" s="69"/>
    </row>
    <row r="719" spans="2:4">
      <c r="B719" s="68"/>
      <c r="C719" s="69" t="str">
        <f>IFERROR(VLOOKUP(B719,Roster!$A$2:$B$5000,2,FALSE),"-")</f>
        <v>-</v>
      </c>
      <c r="D719" s="69"/>
    </row>
    <row r="720" spans="2:4">
      <c r="B720" s="68"/>
      <c r="C720" s="69" t="str">
        <f>IFERROR(VLOOKUP(B720,Roster!$A$2:$B$5000,2,FALSE),"-")</f>
        <v>-</v>
      </c>
      <c r="D720" s="69"/>
    </row>
    <row r="721" spans="2:4">
      <c r="B721" s="68"/>
      <c r="C721" s="69" t="str">
        <f>IFERROR(VLOOKUP(B721,Roster!$A$2:$B$5000,2,FALSE),"-")</f>
        <v>-</v>
      </c>
      <c r="D721" s="69"/>
    </row>
    <row r="722" spans="2:4">
      <c r="B722" s="68"/>
      <c r="C722" s="69" t="str">
        <f>IFERROR(VLOOKUP(B722,Roster!$A$2:$B$5000,2,FALSE),"-")</f>
        <v>-</v>
      </c>
      <c r="D722" s="69"/>
    </row>
    <row r="723" spans="2:4">
      <c r="B723" s="68"/>
      <c r="C723" s="69" t="str">
        <f>IFERROR(VLOOKUP(B723,Roster!$A$2:$B$5000,2,FALSE),"-")</f>
        <v>-</v>
      </c>
      <c r="D723" s="69"/>
    </row>
    <row r="724" spans="2:4">
      <c r="B724" s="68"/>
      <c r="C724" s="69" t="str">
        <f>IFERROR(VLOOKUP(B724,Roster!$A$2:$B$5000,2,FALSE),"-")</f>
        <v>-</v>
      </c>
      <c r="D724" s="69"/>
    </row>
    <row r="725" spans="2:4">
      <c r="B725" s="68"/>
      <c r="C725" s="69" t="str">
        <f>IFERROR(VLOOKUP(B725,Roster!$A$2:$B$5000,2,FALSE),"-")</f>
        <v>-</v>
      </c>
      <c r="D725" s="69"/>
    </row>
    <row r="726" spans="2:4">
      <c r="B726" s="68"/>
      <c r="C726" s="69" t="str">
        <f>IFERROR(VLOOKUP(B726,Roster!$A$2:$B$5000,2,FALSE),"-")</f>
        <v>-</v>
      </c>
      <c r="D726" s="69"/>
    </row>
    <row r="727" spans="2:4">
      <c r="B727" s="68"/>
      <c r="C727" s="69" t="str">
        <f>IFERROR(VLOOKUP(B727,Roster!$A$2:$B$5000,2,FALSE),"-")</f>
        <v>-</v>
      </c>
      <c r="D727" s="69"/>
    </row>
    <row r="728" spans="2:4">
      <c r="B728" s="68"/>
      <c r="C728" s="69" t="str">
        <f>IFERROR(VLOOKUP(B728,Roster!$A$2:$B$5000,2,FALSE),"-")</f>
        <v>-</v>
      </c>
      <c r="D728" s="69"/>
    </row>
    <row r="729" spans="2:4">
      <c r="B729" s="68"/>
      <c r="C729" s="69" t="str">
        <f>IFERROR(VLOOKUP(B729,Roster!$A$2:$B$5000,2,FALSE),"-")</f>
        <v>-</v>
      </c>
      <c r="D729" s="69"/>
    </row>
    <row r="730" spans="2:4">
      <c r="B730" s="68"/>
      <c r="C730" s="69" t="str">
        <f>IFERROR(VLOOKUP(B730,Roster!$A$2:$B$5000,2,FALSE),"-")</f>
        <v>-</v>
      </c>
      <c r="D730" s="69"/>
    </row>
    <row r="731" spans="2:4">
      <c r="B731" s="68"/>
      <c r="C731" s="69" t="str">
        <f>IFERROR(VLOOKUP(B731,Roster!$A$2:$B$5000,2,FALSE),"-")</f>
        <v>-</v>
      </c>
      <c r="D731" s="69"/>
    </row>
    <row r="732" spans="2:4">
      <c r="B732" s="68"/>
      <c r="C732" s="69" t="str">
        <f>IFERROR(VLOOKUP(B732,Roster!$A$2:$B$5000,2,FALSE),"-")</f>
        <v>-</v>
      </c>
      <c r="D732" s="69"/>
    </row>
    <row r="733" spans="2:4">
      <c r="B733" s="68"/>
      <c r="C733" s="69" t="str">
        <f>IFERROR(VLOOKUP(B733,Roster!$A$2:$B$5000,2,FALSE),"-")</f>
        <v>-</v>
      </c>
      <c r="D733" s="69"/>
    </row>
    <row r="734" spans="2:4">
      <c r="B734" s="68"/>
      <c r="C734" s="69" t="str">
        <f>IFERROR(VLOOKUP(B734,Roster!$A$2:$B$5000,2,FALSE),"-")</f>
        <v>-</v>
      </c>
      <c r="D734" s="69"/>
    </row>
    <row r="735" spans="2:4">
      <c r="B735" s="68"/>
      <c r="C735" s="69" t="str">
        <f>IFERROR(VLOOKUP(B735,Roster!$A$2:$B$5000,2,FALSE),"-")</f>
        <v>-</v>
      </c>
      <c r="D735" s="69"/>
    </row>
    <row r="736" spans="2:4">
      <c r="B736" s="68"/>
      <c r="C736" s="69" t="str">
        <f>IFERROR(VLOOKUP(B736,Roster!$A$2:$B$5000,2,FALSE),"-")</f>
        <v>-</v>
      </c>
      <c r="D736" s="69"/>
    </row>
    <row r="737" spans="2:4">
      <c r="B737" s="68"/>
      <c r="C737" s="69" t="str">
        <f>IFERROR(VLOOKUP(B737,Roster!$A$2:$B$5000,2,FALSE),"-")</f>
        <v>-</v>
      </c>
      <c r="D737" s="69"/>
    </row>
    <row r="738" spans="2:4">
      <c r="B738" s="68"/>
      <c r="C738" s="69" t="str">
        <f>IFERROR(VLOOKUP(B738,Roster!$A$2:$B$5000,2,FALSE),"-")</f>
        <v>-</v>
      </c>
      <c r="D738" s="69"/>
    </row>
    <row r="739" spans="2:4">
      <c r="B739" s="68"/>
      <c r="C739" s="69" t="str">
        <f>IFERROR(VLOOKUP(B739,Roster!$A$2:$B$5000,2,FALSE),"-")</f>
        <v>-</v>
      </c>
      <c r="D739" s="69"/>
    </row>
    <row r="740" spans="2:4">
      <c r="B740" s="68"/>
      <c r="C740" s="69" t="str">
        <f>IFERROR(VLOOKUP(B740,Roster!$A$2:$B$5000,2,FALSE),"-")</f>
        <v>-</v>
      </c>
      <c r="D740" s="69"/>
    </row>
    <row r="741" spans="2:4">
      <c r="B741" s="68"/>
      <c r="C741" s="69" t="str">
        <f>IFERROR(VLOOKUP(B741,Roster!$A$2:$B$5000,2,FALSE),"-")</f>
        <v>-</v>
      </c>
      <c r="D741" s="69"/>
    </row>
    <row r="742" spans="2:4">
      <c r="B742" s="68"/>
      <c r="C742" s="69" t="str">
        <f>IFERROR(VLOOKUP(B742,Roster!$A$2:$B$5000,2,FALSE),"-")</f>
        <v>-</v>
      </c>
      <c r="D742" s="69"/>
    </row>
    <row r="743" spans="2:4">
      <c r="B743" s="68"/>
      <c r="C743" s="69" t="str">
        <f>IFERROR(VLOOKUP(B743,Roster!$A$2:$B$5000,2,FALSE),"-")</f>
        <v>-</v>
      </c>
      <c r="D743" s="69"/>
    </row>
    <row r="744" spans="2:4">
      <c r="B744" s="68"/>
      <c r="C744" s="69" t="str">
        <f>IFERROR(VLOOKUP(B744,Roster!$A$2:$B$5000,2,FALSE),"-")</f>
        <v>-</v>
      </c>
      <c r="D744" s="69"/>
    </row>
    <row r="745" spans="2:4">
      <c r="B745" s="68"/>
      <c r="C745" s="69" t="str">
        <f>IFERROR(VLOOKUP(B745,Roster!$A$2:$B$5000,2,FALSE),"-")</f>
        <v>-</v>
      </c>
      <c r="D745" s="69"/>
    </row>
    <row r="746" spans="2:4">
      <c r="B746" s="68"/>
      <c r="C746" s="69" t="str">
        <f>IFERROR(VLOOKUP(B746,Roster!$A$2:$B$5000,2,FALSE),"-")</f>
        <v>-</v>
      </c>
      <c r="D746" s="69"/>
    </row>
    <row r="747" spans="2:4">
      <c r="B747" s="68"/>
      <c r="C747" s="69" t="str">
        <f>IFERROR(VLOOKUP(B747,Roster!$A$2:$B$5000,2,FALSE),"-")</f>
        <v>-</v>
      </c>
      <c r="D747" s="69"/>
    </row>
    <row r="748" spans="2:4">
      <c r="B748" s="68"/>
      <c r="C748" s="69" t="str">
        <f>IFERROR(VLOOKUP(B748,Roster!$A$2:$B$5000,2,FALSE),"-")</f>
        <v>-</v>
      </c>
      <c r="D748" s="69"/>
    </row>
    <row r="749" spans="2:4">
      <c r="B749" s="68"/>
      <c r="C749" s="69" t="str">
        <f>IFERROR(VLOOKUP(B749,Roster!$A$2:$B$5000,2,FALSE),"-")</f>
        <v>-</v>
      </c>
      <c r="D749" s="69"/>
    </row>
    <row r="750" spans="2:4">
      <c r="B750" s="68"/>
      <c r="C750" s="69" t="str">
        <f>IFERROR(VLOOKUP(B750,Roster!$A$2:$B$5000,2,FALSE),"-")</f>
        <v>-</v>
      </c>
      <c r="D750" s="69"/>
    </row>
    <row r="751" spans="2:4">
      <c r="B751" s="68"/>
      <c r="C751" s="69" t="str">
        <f>IFERROR(VLOOKUP(B751,Roster!$A$2:$B$5000,2,FALSE),"-")</f>
        <v>-</v>
      </c>
      <c r="D751" s="69"/>
    </row>
    <row r="752" spans="2:4">
      <c r="B752" s="68"/>
      <c r="C752" s="69" t="str">
        <f>IFERROR(VLOOKUP(B752,Roster!$A$2:$B$5000,2,FALSE),"-")</f>
        <v>-</v>
      </c>
      <c r="D752" s="69"/>
    </row>
    <row r="753" spans="2:4">
      <c r="B753" s="68"/>
      <c r="C753" s="69" t="str">
        <f>IFERROR(VLOOKUP(B753,Roster!$A$2:$B$5000,2,FALSE),"-")</f>
        <v>-</v>
      </c>
      <c r="D753" s="69"/>
    </row>
    <row r="754" spans="2:4">
      <c r="B754" s="68"/>
      <c r="C754" s="69" t="str">
        <f>IFERROR(VLOOKUP(B754,Roster!$A$2:$B$5000,2,FALSE),"-")</f>
        <v>-</v>
      </c>
      <c r="D754" s="69"/>
    </row>
    <row r="755" spans="2:4">
      <c r="B755" s="68"/>
      <c r="C755" s="69" t="str">
        <f>IFERROR(VLOOKUP(B755,Roster!$A$2:$B$5000,2,FALSE),"-")</f>
        <v>-</v>
      </c>
      <c r="D755" s="69"/>
    </row>
    <row r="756" spans="2:4">
      <c r="B756" s="68"/>
      <c r="C756" s="69" t="str">
        <f>IFERROR(VLOOKUP(B756,Roster!$A$2:$B$5000,2,FALSE),"-")</f>
        <v>-</v>
      </c>
      <c r="D756" s="69"/>
    </row>
    <row r="757" spans="2:4">
      <c r="B757" s="68"/>
      <c r="C757" s="69" t="str">
        <f>IFERROR(VLOOKUP(B757,Roster!$A$2:$B$5000,2,FALSE),"-")</f>
        <v>-</v>
      </c>
      <c r="D757" s="69"/>
    </row>
    <row r="758" spans="2:4">
      <c r="B758" s="68"/>
      <c r="C758" s="69" t="str">
        <f>IFERROR(VLOOKUP(B758,Roster!$A$2:$B$5000,2,FALSE),"-")</f>
        <v>-</v>
      </c>
      <c r="D758" s="69"/>
    </row>
    <row r="759" spans="2:4">
      <c r="B759" s="68"/>
      <c r="C759" s="69" t="str">
        <f>IFERROR(VLOOKUP(B759,Roster!$A$2:$B$5000,2,FALSE),"-")</f>
        <v>-</v>
      </c>
      <c r="D759" s="69"/>
    </row>
    <row r="760" spans="2:4">
      <c r="B760" s="68"/>
      <c r="C760" s="69" t="str">
        <f>IFERROR(VLOOKUP(B760,Roster!$A$2:$B$5000,2,FALSE),"-")</f>
        <v>-</v>
      </c>
      <c r="D760" s="69"/>
    </row>
    <row r="761" spans="2:4">
      <c r="B761" s="68"/>
      <c r="C761" s="69" t="str">
        <f>IFERROR(VLOOKUP(B761,Roster!$A$2:$B$5000,2,FALSE),"-")</f>
        <v>-</v>
      </c>
      <c r="D761" s="69"/>
    </row>
    <row r="762" spans="2:4">
      <c r="B762" s="68"/>
      <c r="C762" s="69" t="str">
        <f>IFERROR(VLOOKUP(B762,Roster!$A$2:$B$5000,2,FALSE),"-")</f>
        <v>-</v>
      </c>
      <c r="D762" s="69"/>
    </row>
    <row r="763" spans="2:4">
      <c r="B763" s="68"/>
      <c r="C763" s="69" t="str">
        <f>IFERROR(VLOOKUP(B763,Roster!$A$2:$B$5000,2,FALSE),"-")</f>
        <v>-</v>
      </c>
      <c r="D763" s="69"/>
    </row>
    <row r="764" spans="2:4">
      <c r="B764" s="68"/>
      <c r="C764" s="69" t="str">
        <f>IFERROR(VLOOKUP(B764,Roster!$A$2:$B$5000,2,FALSE),"-")</f>
        <v>-</v>
      </c>
      <c r="D764" s="69"/>
    </row>
    <row r="765" spans="2:4">
      <c r="B765" s="68"/>
      <c r="C765" s="69" t="str">
        <f>IFERROR(VLOOKUP(B765,Roster!$A$2:$B$5000,2,FALSE),"-")</f>
        <v>-</v>
      </c>
      <c r="D765" s="69"/>
    </row>
    <row r="766" spans="2:4">
      <c r="B766" s="68"/>
      <c r="C766" s="69" t="str">
        <f>IFERROR(VLOOKUP(B766,Roster!$A$2:$B$5000,2,FALSE),"-")</f>
        <v>-</v>
      </c>
      <c r="D766" s="69"/>
    </row>
    <row r="767" spans="2:4">
      <c r="B767" s="68"/>
      <c r="C767" s="69" t="str">
        <f>IFERROR(VLOOKUP(B767,Roster!$A$2:$B$5000,2,FALSE),"-")</f>
        <v>-</v>
      </c>
      <c r="D767" s="69"/>
    </row>
    <row r="768" spans="2:4">
      <c r="B768" s="68"/>
      <c r="C768" s="69" t="str">
        <f>IFERROR(VLOOKUP(B768,Roster!$A$2:$B$5000,2,FALSE),"-")</f>
        <v>-</v>
      </c>
      <c r="D768" s="69"/>
    </row>
    <row r="769" spans="2:4">
      <c r="B769" s="68"/>
      <c r="C769" s="69" t="str">
        <f>IFERROR(VLOOKUP(B769,Roster!$A$2:$B$5000,2,FALSE),"-")</f>
        <v>-</v>
      </c>
      <c r="D769" s="69"/>
    </row>
    <row r="770" spans="2:4">
      <c r="B770" s="68"/>
      <c r="C770" s="69" t="str">
        <f>IFERROR(VLOOKUP(B770,Roster!$A$2:$B$5000,2,FALSE),"-")</f>
        <v>-</v>
      </c>
      <c r="D770" s="69"/>
    </row>
    <row r="771" spans="2:4">
      <c r="B771" s="68"/>
      <c r="C771" s="69" t="str">
        <f>IFERROR(VLOOKUP(B771,Roster!$A$2:$B$5000,2,FALSE),"-")</f>
        <v>-</v>
      </c>
      <c r="D771" s="69"/>
    </row>
    <row r="772" spans="2:4">
      <c r="B772" s="68"/>
      <c r="C772" s="69" t="str">
        <f>IFERROR(VLOOKUP(B772,Roster!$A$2:$B$5000,2,FALSE),"-")</f>
        <v>-</v>
      </c>
      <c r="D772" s="69"/>
    </row>
    <row r="773" spans="2:4">
      <c r="B773" s="68"/>
      <c r="C773" s="69" t="str">
        <f>IFERROR(VLOOKUP(B773,Roster!$A$2:$B$5000,2,FALSE),"-")</f>
        <v>-</v>
      </c>
      <c r="D773" s="69"/>
    </row>
    <row r="774" spans="2:4">
      <c r="B774" s="68"/>
      <c r="C774" s="69" t="str">
        <f>IFERROR(VLOOKUP(B774,Roster!$A$2:$B$5000,2,FALSE),"-")</f>
        <v>-</v>
      </c>
      <c r="D774" s="69"/>
    </row>
    <row r="775" spans="2:4">
      <c r="B775" s="68"/>
      <c r="C775" s="69" t="str">
        <f>IFERROR(VLOOKUP(B775,Roster!$A$2:$B$5000,2,FALSE),"-")</f>
        <v>-</v>
      </c>
      <c r="D775" s="69"/>
    </row>
    <row r="776" spans="2:4">
      <c r="B776" s="68"/>
      <c r="C776" s="69" t="str">
        <f>IFERROR(VLOOKUP(B776,Roster!$A$2:$B$5000,2,FALSE),"-")</f>
        <v>-</v>
      </c>
      <c r="D776" s="69"/>
    </row>
    <row r="777" spans="2:4">
      <c r="B777" s="68"/>
      <c r="C777" s="69" t="str">
        <f>IFERROR(VLOOKUP(B777,Roster!$A$2:$B$5000,2,FALSE),"-")</f>
        <v>-</v>
      </c>
      <c r="D777" s="69"/>
    </row>
    <row r="778" spans="2:4">
      <c r="B778" s="68"/>
      <c r="C778" s="69" t="str">
        <f>IFERROR(VLOOKUP(B778,Roster!$A$2:$B$5000,2,FALSE),"-")</f>
        <v>-</v>
      </c>
      <c r="D778" s="69"/>
    </row>
    <row r="779" spans="2:4">
      <c r="B779" s="68"/>
      <c r="C779" s="69" t="str">
        <f>IFERROR(VLOOKUP(B779,Roster!$A$2:$B$5000,2,FALSE),"-")</f>
        <v>-</v>
      </c>
      <c r="D779" s="69"/>
    </row>
    <row r="780" spans="2:4">
      <c r="B780" s="68"/>
      <c r="C780" s="69" t="str">
        <f>IFERROR(VLOOKUP(B780,Roster!$A$2:$B$5000,2,FALSE),"-")</f>
        <v>-</v>
      </c>
      <c r="D780" s="69"/>
    </row>
    <row r="781" spans="2:4">
      <c r="B781" s="68"/>
      <c r="C781" s="69" t="str">
        <f>IFERROR(VLOOKUP(B781,Roster!$A$2:$B$5000,2,FALSE),"-")</f>
        <v>-</v>
      </c>
      <c r="D781" s="69"/>
    </row>
    <row r="782" spans="2:4">
      <c r="B782" s="68"/>
      <c r="C782" s="69" t="str">
        <f>IFERROR(VLOOKUP(B782,Roster!$A$2:$B$5000,2,FALSE),"-")</f>
        <v>-</v>
      </c>
      <c r="D782" s="69"/>
    </row>
    <row r="783" spans="2:4">
      <c r="B783" s="68"/>
      <c r="C783" s="69" t="str">
        <f>IFERROR(VLOOKUP(B783,Roster!$A$2:$B$5000,2,FALSE),"-")</f>
        <v>-</v>
      </c>
      <c r="D783" s="69"/>
    </row>
    <row r="784" spans="2:4">
      <c r="B784" s="68"/>
      <c r="C784" s="69" t="str">
        <f>IFERROR(VLOOKUP(B784,Roster!$A$2:$B$5000,2,FALSE),"-")</f>
        <v>-</v>
      </c>
      <c r="D784" s="69"/>
    </row>
    <row r="785" spans="2:4">
      <c r="B785" s="68"/>
      <c r="C785" s="69" t="str">
        <f>IFERROR(VLOOKUP(B785,Roster!$A$2:$B$5000,2,FALSE),"-")</f>
        <v>-</v>
      </c>
      <c r="D785" s="69"/>
    </row>
    <row r="786" spans="2:4">
      <c r="B786" s="68"/>
      <c r="C786" s="69" t="str">
        <f>IFERROR(VLOOKUP(B786,Roster!$A$2:$B$5000,2,FALSE),"-")</f>
        <v>-</v>
      </c>
      <c r="D786" s="69"/>
    </row>
    <row r="787" spans="2:4">
      <c r="B787" s="68"/>
      <c r="C787" s="69" t="str">
        <f>IFERROR(VLOOKUP(B787,Roster!$A$2:$B$5000,2,FALSE),"-")</f>
        <v>-</v>
      </c>
      <c r="D787" s="69"/>
    </row>
    <row r="788" spans="2:4">
      <c r="B788" s="68"/>
      <c r="C788" s="69" t="str">
        <f>IFERROR(VLOOKUP(B788,Roster!$A$2:$B$5000,2,FALSE),"-")</f>
        <v>-</v>
      </c>
      <c r="D788" s="69"/>
    </row>
    <row r="789" spans="2:4">
      <c r="B789" s="68"/>
      <c r="C789" s="69" t="str">
        <f>IFERROR(VLOOKUP(B789,Roster!$A$2:$B$5000,2,FALSE),"-")</f>
        <v>-</v>
      </c>
      <c r="D789" s="69"/>
    </row>
    <row r="790" spans="2:4">
      <c r="B790" s="68"/>
      <c r="C790" s="69" t="str">
        <f>IFERROR(VLOOKUP(B790,Roster!$A$2:$B$5000,2,FALSE),"-")</f>
        <v>-</v>
      </c>
      <c r="D790" s="69"/>
    </row>
    <row r="791" spans="2:4">
      <c r="B791" s="68"/>
      <c r="C791" s="69" t="str">
        <f>IFERROR(VLOOKUP(B791,Roster!$A$2:$B$5000,2,FALSE),"-")</f>
        <v>-</v>
      </c>
      <c r="D791" s="69"/>
    </row>
    <row r="792" spans="2:4">
      <c r="B792" s="68"/>
      <c r="C792" s="69" t="str">
        <f>IFERROR(VLOOKUP(B792,Roster!$A$2:$B$5000,2,FALSE),"-")</f>
        <v>-</v>
      </c>
      <c r="D792" s="69"/>
    </row>
    <row r="793" spans="2:4">
      <c r="B793" s="68"/>
      <c r="C793" s="69" t="str">
        <f>IFERROR(VLOOKUP(B793,Roster!$A$2:$B$5000,2,FALSE),"-")</f>
        <v>-</v>
      </c>
      <c r="D793" s="69"/>
    </row>
    <row r="794" spans="2:4">
      <c r="B794" s="68"/>
      <c r="C794" s="69" t="str">
        <f>IFERROR(VLOOKUP(B794,Roster!$A$2:$B$5000,2,FALSE),"-")</f>
        <v>-</v>
      </c>
      <c r="D794" s="69"/>
    </row>
    <row r="795" spans="2:4">
      <c r="B795" s="68"/>
      <c r="C795" s="69" t="str">
        <f>IFERROR(VLOOKUP(B795,Roster!$A$2:$B$5000,2,FALSE),"-")</f>
        <v>-</v>
      </c>
      <c r="D795" s="69"/>
    </row>
    <row r="796" spans="2:4">
      <c r="B796" s="68"/>
      <c r="C796" s="69" t="str">
        <f>IFERROR(VLOOKUP(B796,Roster!$A$2:$B$5000,2,FALSE),"-")</f>
        <v>-</v>
      </c>
      <c r="D796" s="69"/>
    </row>
    <row r="797" spans="2:4">
      <c r="B797" s="68"/>
      <c r="C797" s="69" t="str">
        <f>IFERROR(VLOOKUP(B797,Roster!$A$2:$B$5000,2,FALSE),"-")</f>
        <v>-</v>
      </c>
      <c r="D797" s="69"/>
    </row>
    <row r="798" spans="2:4">
      <c r="B798" s="68"/>
      <c r="C798" s="69" t="str">
        <f>IFERROR(VLOOKUP(B798,Roster!$A$2:$B$5000,2,FALSE),"-")</f>
        <v>-</v>
      </c>
      <c r="D798" s="69"/>
    </row>
    <row r="799" spans="2:4">
      <c r="B799" s="68"/>
      <c r="C799" s="69" t="str">
        <f>IFERROR(VLOOKUP(B799,Roster!$A$2:$B$5000,2,FALSE),"-")</f>
        <v>-</v>
      </c>
      <c r="D799" s="69"/>
    </row>
    <row r="800" spans="2:4">
      <c r="B800" s="68"/>
      <c r="C800" s="69" t="str">
        <f>IFERROR(VLOOKUP(B800,Roster!$A$2:$B$5000,2,FALSE),"-")</f>
        <v>-</v>
      </c>
      <c r="D800" s="69"/>
    </row>
    <row r="801" spans="2:4">
      <c r="B801" s="68"/>
      <c r="C801" s="69" t="str">
        <f>IFERROR(VLOOKUP(B801,Roster!$A$2:$B$5000,2,FALSE),"-")</f>
        <v>-</v>
      </c>
      <c r="D801" s="69"/>
    </row>
    <row r="802" spans="2:4">
      <c r="B802" s="68"/>
      <c r="C802" s="69" t="str">
        <f>IFERROR(VLOOKUP(B802,Roster!$A$2:$B$5000,2,FALSE),"-")</f>
        <v>-</v>
      </c>
      <c r="D802" s="69"/>
    </row>
    <row r="803" spans="2:4">
      <c r="B803" s="68"/>
      <c r="C803" s="69" t="str">
        <f>IFERROR(VLOOKUP(B803,Roster!$A$2:$B$5000,2,FALSE),"-")</f>
        <v>-</v>
      </c>
      <c r="D803" s="69"/>
    </row>
    <row r="804" spans="2:4">
      <c r="B804" s="68"/>
      <c r="C804" s="69" t="str">
        <f>IFERROR(VLOOKUP(B804,Roster!$A$2:$B$5000,2,FALSE),"-")</f>
        <v>-</v>
      </c>
      <c r="D804" s="69"/>
    </row>
    <row r="805" spans="2:4">
      <c r="B805" s="68"/>
      <c r="C805" s="69" t="str">
        <f>IFERROR(VLOOKUP(B805,Roster!$A$2:$B$5000,2,FALSE),"-")</f>
        <v>-</v>
      </c>
      <c r="D805" s="69"/>
    </row>
    <row r="806" spans="2:4">
      <c r="B806" s="68"/>
      <c r="C806" s="69" t="str">
        <f>IFERROR(VLOOKUP(B806,Roster!$A$2:$B$5000,2,FALSE),"-")</f>
        <v>-</v>
      </c>
      <c r="D806" s="69"/>
    </row>
    <row r="807" spans="2:4">
      <c r="B807" s="68"/>
      <c r="C807" s="69" t="str">
        <f>IFERROR(VLOOKUP(B807,Roster!$A$2:$B$5000,2,FALSE),"-")</f>
        <v>-</v>
      </c>
      <c r="D807" s="69"/>
    </row>
    <row r="808" spans="2:4">
      <c r="B808" s="68"/>
      <c r="C808" s="69" t="str">
        <f>IFERROR(VLOOKUP(B808,Roster!$A$2:$B$5000,2,FALSE),"-")</f>
        <v>-</v>
      </c>
      <c r="D808" s="69"/>
    </row>
    <row r="809" spans="2:4">
      <c r="B809" s="68"/>
      <c r="C809" s="69" t="str">
        <f>IFERROR(VLOOKUP(B809,Roster!$A$2:$B$5000,2,FALSE),"-")</f>
        <v>-</v>
      </c>
      <c r="D809" s="69"/>
    </row>
    <row r="810" spans="2:4">
      <c r="B810" s="68"/>
      <c r="C810" s="69" t="str">
        <f>IFERROR(VLOOKUP(B810,Roster!$A$2:$B$5000,2,FALSE),"-")</f>
        <v>-</v>
      </c>
      <c r="D810" s="69"/>
    </row>
    <row r="811" spans="2:4">
      <c r="B811" s="68"/>
      <c r="C811" s="69" t="str">
        <f>IFERROR(VLOOKUP(B811,Roster!$A$2:$B$5000,2,FALSE),"-")</f>
        <v>-</v>
      </c>
      <c r="D811" s="69"/>
    </row>
    <row r="812" spans="2:4">
      <c r="B812" s="68"/>
      <c r="C812" s="69" t="str">
        <f>IFERROR(VLOOKUP(B812,Roster!$A$2:$B$5000,2,FALSE),"-")</f>
        <v>-</v>
      </c>
      <c r="D812" s="69"/>
    </row>
    <row r="813" spans="2:4">
      <c r="B813" s="68"/>
      <c r="C813" s="69" t="str">
        <f>IFERROR(VLOOKUP(B813,Roster!$A$2:$B$5000,2,FALSE),"-")</f>
        <v>-</v>
      </c>
      <c r="D813" s="69"/>
    </row>
    <row r="814" spans="2:4">
      <c r="B814" s="68"/>
      <c r="C814" s="69" t="str">
        <f>IFERROR(VLOOKUP(B814,Roster!$A$2:$B$5000,2,FALSE),"-")</f>
        <v>-</v>
      </c>
      <c r="D814" s="69"/>
    </row>
    <row r="815" spans="2:4">
      <c r="B815" s="68"/>
      <c r="C815" s="69" t="str">
        <f>IFERROR(VLOOKUP(B815,Roster!$A$2:$B$5000,2,FALSE),"-")</f>
        <v>-</v>
      </c>
      <c r="D815" s="69"/>
    </row>
    <row r="816" spans="2:4">
      <c r="B816" s="68"/>
      <c r="C816" s="69" t="str">
        <f>IFERROR(VLOOKUP(B816,Roster!$A$2:$B$5000,2,FALSE),"-")</f>
        <v>-</v>
      </c>
      <c r="D816" s="69"/>
    </row>
    <row r="817" spans="2:4">
      <c r="B817" s="68"/>
      <c r="C817" s="69" t="str">
        <f>IFERROR(VLOOKUP(B817,Roster!$A$2:$B$5000,2,FALSE),"-")</f>
        <v>-</v>
      </c>
      <c r="D817" s="69"/>
    </row>
    <row r="818" spans="2:4">
      <c r="B818" s="68"/>
      <c r="C818" s="69" t="str">
        <f>IFERROR(VLOOKUP(B818,Roster!$A$2:$B$5000,2,FALSE),"-")</f>
        <v>-</v>
      </c>
      <c r="D818" s="69"/>
    </row>
    <row r="819" spans="2:4">
      <c r="B819" s="68"/>
      <c r="C819" s="69" t="str">
        <f>IFERROR(VLOOKUP(B819,Roster!$A$2:$B$5000,2,FALSE),"-")</f>
        <v>-</v>
      </c>
      <c r="D819" s="69"/>
    </row>
    <row r="820" spans="2:4">
      <c r="B820" s="68"/>
      <c r="C820" s="69" t="str">
        <f>IFERROR(VLOOKUP(B820,Roster!$A$2:$B$5000,2,FALSE),"-")</f>
        <v>-</v>
      </c>
      <c r="D820" s="69"/>
    </row>
    <row r="821" spans="2:4">
      <c r="B821" s="68"/>
      <c r="C821" s="69" t="str">
        <f>IFERROR(VLOOKUP(B821,Roster!$A$2:$B$5000,2,FALSE),"-")</f>
        <v>-</v>
      </c>
      <c r="D821" s="69"/>
    </row>
    <row r="822" spans="2:4">
      <c r="B822" s="68"/>
      <c r="C822" s="69" t="str">
        <f>IFERROR(VLOOKUP(B822,Roster!$A$2:$B$5000,2,FALSE),"-")</f>
        <v>-</v>
      </c>
      <c r="D822" s="69"/>
    </row>
    <row r="823" spans="2:4">
      <c r="B823" s="68"/>
      <c r="C823" s="69" t="str">
        <f>IFERROR(VLOOKUP(B823,Roster!$A$2:$B$5000,2,FALSE),"-")</f>
        <v>-</v>
      </c>
      <c r="D823" s="69"/>
    </row>
    <row r="824" spans="2:4">
      <c r="B824" s="68"/>
      <c r="C824" s="69" t="str">
        <f>IFERROR(VLOOKUP(B824,Roster!$A$2:$B$5000,2,FALSE),"-")</f>
        <v>-</v>
      </c>
      <c r="D824" s="69"/>
    </row>
    <row r="825" spans="2:4">
      <c r="B825" s="68"/>
      <c r="C825" s="69" t="str">
        <f>IFERROR(VLOOKUP(B825,Roster!$A$2:$B$5000,2,FALSE),"-")</f>
        <v>-</v>
      </c>
      <c r="D825" s="69"/>
    </row>
    <row r="826" spans="2:4">
      <c r="B826" s="68"/>
      <c r="C826" s="69" t="str">
        <f>IFERROR(VLOOKUP(B826,Roster!$A$2:$B$5000,2,FALSE),"-")</f>
        <v>-</v>
      </c>
      <c r="D826" s="69"/>
    </row>
    <row r="827" spans="2:4">
      <c r="B827" s="68"/>
      <c r="C827" s="69" t="str">
        <f>IFERROR(VLOOKUP(B827,Roster!$A$2:$B$5000,2,FALSE),"-")</f>
        <v>-</v>
      </c>
      <c r="D827" s="69"/>
    </row>
    <row r="828" spans="2:4">
      <c r="B828" s="68"/>
      <c r="C828" s="69" t="str">
        <f>IFERROR(VLOOKUP(B828,Roster!$A$2:$B$5000,2,FALSE),"-")</f>
        <v>-</v>
      </c>
      <c r="D828" s="69"/>
    </row>
    <row r="829" spans="2:4">
      <c r="B829" s="68"/>
      <c r="C829" s="69" t="str">
        <f>IFERROR(VLOOKUP(B829,Roster!$A$2:$B$5000,2,FALSE),"-")</f>
        <v>-</v>
      </c>
      <c r="D829" s="69"/>
    </row>
    <row r="830" spans="2:4">
      <c r="B830" s="68"/>
      <c r="C830" s="69" t="str">
        <f>IFERROR(VLOOKUP(B830,Roster!$A$2:$B$5000,2,FALSE),"-")</f>
        <v>-</v>
      </c>
      <c r="D830" s="69"/>
    </row>
    <row r="831" spans="2:4">
      <c r="B831" s="68"/>
      <c r="C831" s="69" t="str">
        <f>IFERROR(VLOOKUP(B831,Roster!$A$2:$B$5000,2,FALSE),"-")</f>
        <v>-</v>
      </c>
      <c r="D831" s="69"/>
    </row>
    <row r="832" spans="2:4">
      <c r="B832" s="68"/>
      <c r="C832" s="69" t="str">
        <f>IFERROR(VLOOKUP(B832,Roster!$A$2:$B$5000,2,FALSE),"-")</f>
        <v>-</v>
      </c>
      <c r="D832" s="69"/>
    </row>
    <row r="833" spans="2:4">
      <c r="B833" s="68"/>
      <c r="C833" s="69" t="str">
        <f>IFERROR(VLOOKUP(B833,Roster!$A$2:$B$5000,2,FALSE),"-")</f>
        <v>-</v>
      </c>
      <c r="D833" s="69"/>
    </row>
    <row r="834" spans="2:4">
      <c r="B834" s="68"/>
      <c r="C834" s="69" t="str">
        <f>IFERROR(VLOOKUP(B834,Roster!$A$2:$B$5000,2,FALSE),"-")</f>
        <v>-</v>
      </c>
      <c r="D834" s="69"/>
    </row>
    <row r="835" spans="2:4">
      <c r="B835" s="68"/>
      <c r="C835" s="69" t="str">
        <f>IFERROR(VLOOKUP(B835,Roster!$A$2:$B$5000,2,FALSE),"-")</f>
        <v>-</v>
      </c>
      <c r="D835" s="69"/>
    </row>
    <row r="836" spans="2:4">
      <c r="B836" s="68"/>
      <c r="C836" s="69" t="str">
        <f>IFERROR(VLOOKUP(B836,Roster!$A$2:$B$5000,2,FALSE),"-")</f>
        <v>-</v>
      </c>
      <c r="D836" s="69"/>
    </row>
    <row r="837" spans="2:4">
      <c r="B837" s="68"/>
      <c r="C837" s="69" t="str">
        <f>IFERROR(VLOOKUP(B837,Roster!$A$2:$B$5000,2,FALSE),"-")</f>
        <v>-</v>
      </c>
      <c r="D837" s="69"/>
    </row>
    <row r="838" spans="2:4">
      <c r="B838" s="68"/>
      <c r="C838" s="69" t="str">
        <f>IFERROR(VLOOKUP(B838,Roster!$A$2:$B$5000,2,FALSE),"-")</f>
        <v>-</v>
      </c>
      <c r="D838" s="69"/>
    </row>
    <row r="839" spans="2:4">
      <c r="B839" s="68"/>
      <c r="C839" s="69" t="str">
        <f>IFERROR(VLOOKUP(B839,Roster!$A$2:$B$5000,2,FALSE),"-")</f>
        <v>-</v>
      </c>
      <c r="D839" s="69"/>
    </row>
    <row r="840" spans="2:4">
      <c r="B840" s="68"/>
      <c r="C840" s="69" t="str">
        <f>IFERROR(VLOOKUP(B840,Roster!$A$2:$B$5000,2,FALSE),"-")</f>
        <v>-</v>
      </c>
      <c r="D840" s="69"/>
    </row>
    <row r="841" spans="2:4">
      <c r="B841" s="68"/>
      <c r="C841" s="69" t="str">
        <f>IFERROR(VLOOKUP(B841,Roster!$A$2:$B$5000,2,FALSE),"-")</f>
        <v>-</v>
      </c>
      <c r="D841" s="69"/>
    </row>
    <row r="842" spans="2:4">
      <c r="B842" s="68"/>
      <c r="C842" s="69" t="str">
        <f>IFERROR(VLOOKUP(B842,Roster!$A$2:$B$5000,2,FALSE),"-")</f>
        <v>-</v>
      </c>
      <c r="D842" s="69"/>
    </row>
    <row r="843" spans="2:4">
      <c r="B843" s="68"/>
      <c r="C843" s="69" t="str">
        <f>IFERROR(VLOOKUP(B843,Roster!$A$2:$B$5000,2,FALSE),"-")</f>
        <v>-</v>
      </c>
      <c r="D843" s="69"/>
    </row>
    <row r="844" spans="2:4">
      <c r="B844" s="68"/>
      <c r="C844" s="69" t="str">
        <f>IFERROR(VLOOKUP(B844,Roster!$A$2:$B$5000,2,FALSE),"-")</f>
        <v>-</v>
      </c>
      <c r="D844" s="69"/>
    </row>
    <row r="845" spans="2:4">
      <c r="B845" s="68"/>
      <c r="C845" s="69" t="str">
        <f>IFERROR(VLOOKUP(B845,Roster!$A$2:$B$5000,2,FALSE),"-")</f>
        <v>-</v>
      </c>
      <c r="D845" s="69"/>
    </row>
    <row r="846" spans="2:4">
      <c r="B846" s="68"/>
      <c r="C846" s="69" t="str">
        <f>IFERROR(VLOOKUP(B846,Roster!$A$2:$B$5000,2,FALSE),"-")</f>
        <v>-</v>
      </c>
      <c r="D846" s="69"/>
    </row>
    <row r="847" spans="2:4">
      <c r="B847" s="68"/>
      <c r="C847" s="69" t="str">
        <f>IFERROR(VLOOKUP(B847,Roster!$A$2:$B$5000,2,FALSE),"-")</f>
        <v>-</v>
      </c>
      <c r="D847" s="69"/>
    </row>
    <row r="848" spans="2:4">
      <c r="B848" s="68"/>
      <c r="C848" s="69" t="str">
        <f>IFERROR(VLOOKUP(B848,Roster!$A$2:$B$5000,2,FALSE),"-")</f>
        <v>-</v>
      </c>
      <c r="D848" s="69"/>
    </row>
    <row r="849" spans="2:4">
      <c r="B849" s="68"/>
      <c r="C849" s="69" t="str">
        <f>IFERROR(VLOOKUP(B849,Roster!$A$2:$B$5000,2,FALSE),"-")</f>
        <v>-</v>
      </c>
      <c r="D849" s="69"/>
    </row>
    <row r="850" spans="2:4">
      <c r="B850" s="68"/>
      <c r="C850" s="69" t="str">
        <f>IFERROR(VLOOKUP(B850,Roster!$A$2:$B$5000,2,FALSE),"-")</f>
        <v>-</v>
      </c>
      <c r="D850" s="69"/>
    </row>
    <row r="851" spans="2:4">
      <c r="B851" s="68"/>
      <c r="C851" s="69" t="str">
        <f>IFERROR(VLOOKUP(B851,Roster!$A$2:$B$5000,2,FALSE),"-")</f>
        <v>-</v>
      </c>
      <c r="D851" s="69"/>
    </row>
    <row r="852" spans="2:4">
      <c r="B852" s="68"/>
      <c r="C852" s="69" t="str">
        <f>IFERROR(VLOOKUP(B852,Roster!$A$2:$B$5000,2,FALSE),"-")</f>
        <v>-</v>
      </c>
      <c r="D852" s="69"/>
    </row>
    <row r="853" spans="2:4">
      <c r="B853" s="68"/>
      <c r="C853" s="69" t="str">
        <f>IFERROR(VLOOKUP(B853,Roster!$A$2:$B$5000,2,FALSE),"-")</f>
        <v>-</v>
      </c>
      <c r="D853" s="69"/>
    </row>
    <row r="854" spans="2:4">
      <c r="B854" s="68"/>
      <c r="C854" s="69" t="str">
        <f>IFERROR(VLOOKUP(B854,Roster!$A$2:$B$5000,2,FALSE),"-")</f>
        <v>-</v>
      </c>
      <c r="D854" s="69"/>
    </row>
    <row r="855" spans="2:4">
      <c r="B855" s="68"/>
      <c r="C855" s="69" t="str">
        <f>IFERROR(VLOOKUP(B855,Roster!$A$2:$B$5000,2,FALSE),"-")</f>
        <v>-</v>
      </c>
      <c r="D855" s="69"/>
    </row>
    <row r="856" spans="2:4">
      <c r="B856" s="68"/>
      <c r="C856" s="69" t="str">
        <f>IFERROR(VLOOKUP(B856,Roster!$A$2:$B$5000,2,FALSE),"-")</f>
        <v>-</v>
      </c>
      <c r="D856" s="69"/>
    </row>
    <row r="857" spans="2:4">
      <c r="B857" s="68"/>
      <c r="C857" s="69" t="str">
        <f>IFERROR(VLOOKUP(B857,Roster!$A$2:$B$5000,2,FALSE),"-")</f>
        <v>-</v>
      </c>
      <c r="D857" s="69"/>
    </row>
    <row r="858" spans="2:4">
      <c r="B858" s="68"/>
      <c r="C858" s="69" t="str">
        <f>IFERROR(VLOOKUP(B858,Roster!$A$2:$B$5000,2,FALSE),"-")</f>
        <v>-</v>
      </c>
      <c r="D858" s="69"/>
    </row>
    <row r="859" spans="2:4">
      <c r="B859" s="68"/>
      <c r="C859" s="69" t="str">
        <f>IFERROR(VLOOKUP(B859,Roster!$A$2:$B$5000,2,FALSE),"-")</f>
        <v>-</v>
      </c>
      <c r="D859" s="69"/>
    </row>
    <row r="860" spans="2:4">
      <c r="B860" s="68"/>
      <c r="C860" s="69" t="str">
        <f>IFERROR(VLOOKUP(B860,Roster!$A$2:$B$5000,2,FALSE),"-")</f>
        <v>-</v>
      </c>
      <c r="D860" s="69"/>
    </row>
    <row r="861" spans="2:4">
      <c r="B861" s="68"/>
      <c r="C861" s="69" t="str">
        <f>IFERROR(VLOOKUP(B861,Roster!$A$2:$B$5000,2,FALSE),"-")</f>
        <v>-</v>
      </c>
      <c r="D861" s="69"/>
    </row>
    <row r="862" spans="2:4">
      <c r="B862" s="68"/>
      <c r="C862" s="69" t="str">
        <f>IFERROR(VLOOKUP(B862,Roster!$A$2:$B$5000,2,FALSE),"-")</f>
        <v>-</v>
      </c>
      <c r="D862" s="69"/>
    </row>
    <row r="863" spans="2:4">
      <c r="B863" s="68"/>
      <c r="C863" s="69" t="str">
        <f>IFERROR(VLOOKUP(B863,Roster!$A$2:$B$5000,2,FALSE),"-")</f>
        <v>-</v>
      </c>
      <c r="D863" s="69"/>
    </row>
    <row r="864" spans="2:4">
      <c r="B864" s="68"/>
      <c r="C864" s="69" t="str">
        <f>IFERROR(VLOOKUP(B864,Roster!$A$2:$B$5000,2,FALSE),"-")</f>
        <v>-</v>
      </c>
      <c r="D864" s="69"/>
    </row>
    <row r="865" spans="2:4">
      <c r="B865" s="68"/>
      <c r="C865" s="69" t="str">
        <f>IFERROR(VLOOKUP(B865,Roster!$A$2:$B$5000,2,FALSE),"-")</f>
        <v>-</v>
      </c>
      <c r="D865" s="69"/>
    </row>
    <row r="866" spans="2:4">
      <c r="B866" s="68"/>
      <c r="C866" s="69" t="str">
        <f>IFERROR(VLOOKUP(B866,Roster!$A$2:$B$5000,2,FALSE),"-")</f>
        <v>-</v>
      </c>
      <c r="D866" s="69"/>
    </row>
    <row r="867" spans="2:4">
      <c r="B867" s="68"/>
      <c r="C867" s="69" t="str">
        <f>IFERROR(VLOOKUP(B867,Roster!$A$2:$B$5000,2,FALSE),"-")</f>
        <v>-</v>
      </c>
      <c r="D867" s="69"/>
    </row>
    <row r="868" spans="2:4">
      <c r="B868" s="68"/>
      <c r="C868" s="69" t="str">
        <f>IFERROR(VLOOKUP(B868,Roster!$A$2:$B$5000,2,FALSE),"-")</f>
        <v>-</v>
      </c>
      <c r="D868" s="69"/>
    </row>
    <row r="869" spans="2:4">
      <c r="B869" s="68"/>
      <c r="C869" s="69" t="str">
        <f>IFERROR(VLOOKUP(B869,Roster!$A$2:$B$5000,2,FALSE),"-")</f>
        <v>-</v>
      </c>
      <c r="D869" s="69"/>
    </row>
    <row r="870" spans="2:4">
      <c r="B870" s="68"/>
      <c r="C870" s="69" t="str">
        <f>IFERROR(VLOOKUP(B870,Roster!$A$2:$B$5000,2,FALSE),"-")</f>
        <v>-</v>
      </c>
      <c r="D870" s="69"/>
    </row>
    <row r="871" spans="2:4">
      <c r="B871" s="68"/>
      <c r="C871" s="69" t="str">
        <f>IFERROR(VLOOKUP(B871,Roster!$A$2:$B$5000,2,FALSE),"-")</f>
        <v>-</v>
      </c>
      <c r="D871" s="69"/>
    </row>
    <row r="872" spans="2:4">
      <c r="B872" s="68"/>
      <c r="C872" s="69" t="str">
        <f>IFERROR(VLOOKUP(B872,Roster!$A$2:$B$5000,2,FALSE),"-")</f>
        <v>-</v>
      </c>
      <c r="D872" s="69"/>
    </row>
    <row r="873" spans="2:4">
      <c r="B873" s="68"/>
      <c r="C873" s="69" t="str">
        <f>IFERROR(VLOOKUP(B873,Roster!$A$2:$B$5000,2,FALSE),"-")</f>
        <v>-</v>
      </c>
      <c r="D873" s="69"/>
    </row>
    <row r="874" spans="2:4">
      <c r="B874" s="68"/>
      <c r="C874" s="69" t="str">
        <f>IFERROR(VLOOKUP(B874,Roster!$A$2:$B$5000,2,FALSE),"-")</f>
        <v>-</v>
      </c>
      <c r="D874" s="69"/>
    </row>
    <row r="875" spans="2:4">
      <c r="B875" s="68"/>
      <c r="C875" s="69" t="str">
        <f>IFERROR(VLOOKUP(B875,Roster!$A$2:$B$5000,2,FALSE),"-")</f>
        <v>-</v>
      </c>
      <c r="D875" s="69"/>
    </row>
    <row r="876" spans="2:4">
      <c r="B876" s="68"/>
      <c r="C876" s="69" t="str">
        <f>IFERROR(VLOOKUP(B876,Roster!$A$2:$B$5000,2,FALSE),"-")</f>
        <v>-</v>
      </c>
      <c r="D876" s="69"/>
    </row>
    <row r="877" spans="2:4">
      <c r="B877" s="68"/>
      <c r="C877" s="69" t="str">
        <f>IFERROR(VLOOKUP(B877,Roster!$A$2:$B$5000,2,FALSE),"-")</f>
        <v>-</v>
      </c>
      <c r="D877" s="69"/>
    </row>
    <row r="878" spans="2:4">
      <c r="B878" s="68"/>
      <c r="C878" s="69" t="str">
        <f>IFERROR(VLOOKUP(B878,Roster!$A$2:$B$5000,2,FALSE),"-")</f>
        <v>-</v>
      </c>
      <c r="D878" s="69"/>
    </row>
    <row r="879" spans="2:4">
      <c r="B879" s="68"/>
      <c r="C879" s="69" t="str">
        <f>IFERROR(VLOOKUP(B879,Roster!$A$2:$B$5000,2,FALSE),"-")</f>
        <v>-</v>
      </c>
      <c r="D879" s="69"/>
    </row>
    <row r="880" spans="2:4">
      <c r="B880" s="68"/>
      <c r="C880" s="69" t="str">
        <f>IFERROR(VLOOKUP(B880,Roster!$A$2:$B$5000,2,FALSE),"-")</f>
        <v>-</v>
      </c>
      <c r="D880" s="69"/>
    </row>
    <row r="881" spans="2:4">
      <c r="B881" s="68"/>
      <c r="C881" s="69" t="str">
        <f>IFERROR(VLOOKUP(B881,Roster!$A$2:$B$5000,2,FALSE),"-")</f>
        <v>-</v>
      </c>
      <c r="D881" s="69"/>
    </row>
    <row r="882" spans="2:4">
      <c r="B882" s="68"/>
      <c r="C882" s="69" t="str">
        <f>IFERROR(VLOOKUP(B882,Roster!$A$2:$B$5000,2,FALSE),"-")</f>
        <v>-</v>
      </c>
      <c r="D882" s="69"/>
    </row>
    <row r="883" spans="2:4">
      <c r="B883" s="68"/>
      <c r="C883" s="69" t="str">
        <f>IFERROR(VLOOKUP(B883,Roster!$A$2:$B$5000,2,FALSE),"-")</f>
        <v>-</v>
      </c>
      <c r="D883" s="69"/>
    </row>
    <row r="884" spans="2:4">
      <c r="B884" s="68"/>
      <c r="C884" s="69" t="str">
        <f>IFERROR(VLOOKUP(B884,Roster!$A$2:$B$5000,2,FALSE),"-")</f>
        <v>-</v>
      </c>
      <c r="D884" s="69"/>
    </row>
    <row r="885" spans="2:4">
      <c r="B885" s="68"/>
      <c r="C885" s="69" t="str">
        <f>IFERROR(VLOOKUP(B885,Roster!$A$2:$B$5000,2,FALSE),"-")</f>
        <v>-</v>
      </c>
      <c r="D885" s="69"/>
    </row>
    <row r="886" spans="2:4">
      <c r="B886" s="68"/>
      <c r="C886" s="69" t="str">
        <f>IFERROR(VLOOKUP(B886,Roster!$A$2:$B$5000,2,FALSE),"-")</f>
        <v>-</v>
      </c>
      <c r="D886" s="69"/>
    </row>
    <row r="887" spans="2:4">
      <c r="B887" s="68"/>
      <c r="C887" s="69" t="str">
        <f>IFERROR(VLOOKUP(B887,Roster!$A$2:$B$5000,2,FALSE),"-")</f>
        <v>-</v>
      </c>
      <c r="D887" s="69"/>
    </row>
    <row r="888" spans="2:4">
      <c r="B888" s="68"/>
      <c r="C888" s="69" t="str">
        <f>IFERROR(VLOOKUP(B888,Roster!$A$2:$B$5000,2,FALSE),"-")</f>
        <v>-</v>
      </c>
      <c r="D888" s="69"/>
    </row>
    <row r="889" spans="2:4">
      <c r="B889" s="68"/>
      <c r="C889" s="69" t="str">
        <f>IFERROR(VLOOKUP(B889,Roster!$A$2:$B$5000,2,FALSE),"-")</f>
        <v>-</v>
      </c>
      <c r="D889" s="69"/>
    </row>
    <row r="890" spans="2:4">
      <c r="B890" s="68"/>
      <c r="C890" s="69" t="str">
        <f>IFERROR(VLOOKUP(B890,Roster!$A$2:$B$5000,2,FALSE),"-")</f>
        <v>-</v>
      </c>
      <c r="D890" s="69"/>
    </row>
    <row r="891" spans="2:4">
      <c r="B891" s="68"/>
      <c r="C891" s="69" t="str">
        <f>IFERROR(VLOOKUP(B891,Roster!$A$2:$B$5000,2,FALSE),"-")</f>
        <v>-</v>
      </c>
      <c r="D891" s="69"/>
    </row>
    <row r="892" spans="2:4">
      <c r="B892" s="68"/>
      <c r="C892" s="69" t="str">
        <f>IFERROR(VLOOKUP(B892,Roster!$A$2:$B$5000,2,FALSE),"-")</f>
        <v>-</v>
      </c>
      <c r="D892" s="69"/>
    </row>
    <row r="893" spans="2:4">
      <c r="B893" s="68"/>
      <c r="C893" s="69" t="str">
        <f>IFERROR(VLOOKUP(B893,Roster!$A$2:$B$5000,2,FALSE),"-")</f>
        <v>-</v>
      </c>
      <c r="D893" s="69"/>
    </row>
    <row r="894" spans="2:4">
      <c r="B894" s="68"/>
      <c r="C894" s="69" t="str">
        <f>IFERROR(VLOOKUP(B894,Roster!$A$2:$B$5000,2,FALSE),"-")</f>
        <v>-</v>
      </c>
      <c r="D894" s="69"/>
    </row>
    <row r="895" spans="2:4">
      <c r="B895" s="68"/>
      <c r="C895" s="69" t="str">
        <f>IFERROR(VLOOKUP(B895,Roster!$A$2:$B$5000,2,FALSE),"-")</f>
        <v>-</v>
      </c>
      <c r="D895" s="69"/>
    </row>
    <row r="896" spans="2:4">
      <c r="B896" s="68"/>
      <c r="C896" s="69" t="str">
        <f>IFERROR(VLOOKUP(B896,Roster!$A$2:$B$5000,2,FALSE),"-")</f>
        <v>-</v>
      </c>
      <c r="D896" s="69"/>
    </row>
    <row r="897" spans="2:4">
      <c r="B897" s="68"/>
      <c r="C897" s="69" t="str">
        <f>IFERROR(VLOOKUP(B897,Roster!$A$2:$B$5000,2,FALSE),"-")</f>
        <v>-</v>
      </c>
      <c r="D897" s="69"/>
    </row>
    <row r="898" spans="2:4">
      <c r="B898" s="68"/>
      <c r="C898" s="69" t="str">
        <f>IFERROR(VLOOKUP(B898,Roster!$A$2:$B$5000,2,FALSE),"-")</f>
        <v>-</v>
      </c>
      <c r="D898" s="69"/>
    </row>
    <row r="899" spans="2:4">
      <c r="B899" s="68"/>
      <c r="C899" s="69" t="str">
        <f>IFERROR(VLOOKUP(B899,Roster!$A$2:$B$5000,2,FALSE),"-")</f>
        <v>-</v>
      </c>
      <c r="D899" s="69"/>
    </row>
    <row r="900" spans="2:4">
      <c r="B900" s="68"/>
      <c r="C900" s="69" t="str">
        <f>IFERROR(VLOOKUP(B900,Roster!$A$2:$B$5000,2,FALSE),"-")</f>
        <v>-</v>
      </c>
      <c r="D900" s="69"/>
    </row>
    <row r="901" spans="2:4">
      <c r="B901" s="68"/>
      <c r="C901" s="69" t="str">
        <f>IFERROR(VLOOKUP(B901,Roster!$A$2:$B$5000,2,FALSE),"-")</f>
        <v>-</v>
      </c>
      <c r="D901" s="69"/>
    </row>
    <row r="902" spans="2:4">
      <c r="B902" s="68"/>
      <c r="C902" s="69" t="str">
        <f>IFERROR(VLOOKUP(B902,Roster!$A$2:$B$5000,2,FALSE),"-")</f>
        <v>-</v>
      </c>
      <c r="D902" s="69"/>
    </row>
    <row r="903" spans="2:4">
      <c r="B903" s="68"/>
      <c r="C903" s="69" t="str">
        <f>IFERROR(VLOOKUP(B903,Roster!$A$2:$B$5000,2,FALSE),"-")</f>
        <v>-</v>
      </c>
      <c r="D903" s="69"/>
    </row>
    <row r="904" spans="2:4">
      <c r="B904" s="68"/>
      <c r="C904" s="69" t="str">
        <f>IFERROR(VLOOKUP(B904,Roster!$A$2:$B$5000,2,FALSE),"-")</f>
        <v>-</v>
      </c>
      <c r="D904" s="69"/>
    </row>
    <row r="905" spans="2:4">
      <c r="B905" s="68"/>
      <c r="C905" s="69" t="str">
        <f>IFERROR(VLOOKUP(B905,Roster!$A$2:$B$5000,2,FALSE),"-")</f>
        <v>-</v>
      </c>
      <c r="D905" s="69"/>
    </row>
    <row r="906" spans="2:4">
      <c r="B906" s="68"/>
      <c r="C906" s="69" t="str">
        <f>IFERROR(VLOOKUP(B906,Roster!$A$2:$B$5000,2,FALSE),"-")</f>
        <v>-</v>
      </c>
      <c r="D906" s="69"/>
    </row>
    <row r="907" spans="2:4">
      <c r="B907" s="68"/>
      <c r="C907" s="69" t="str">
        <f>IFERROR(VLOOKUP(B907,Roster!$A$2:$B$5000,2,FALSE),"-")</f>
        <v>-</v>
      </c>
      <c r="D907" s="69"/>
    </row>
    <row r="908" spans="2:4">
      <c r="B908" s="68"/>
      <c r="C908" s="69" t="str">
        <f>IFERROR(VLOOKUP(B908,Roster!$A$2:$B$5000,2,FALSE),"-")</f>
        <v>-</v>
      </c>
      <c r="D908" s="69"/>
    </row>
    <row r="909" spans="2:4">
      <c r="B909" s="68"/>
      <c r="C909" s="69" t="str">
        <f>IFERROR(VLOOKUP(B909,Roster!$A$2:$B$5000,2,FALSE),"-")</f>
        <v>-</v>
      </c>
      <c r="D909" s="69"/>
    </row>
    <row r="910" spans="2:4">
      <c r="B910" s="68"/>
      <c r="C910" s="69" t="str">
        <f>IFERROR(VLOOKUP(B910,Roster!$A$2:$B$5000,2,FALSE),"-")</f>
        <v>-</v>
      </c>
      <c r="D910" s="69"/>
    </row>
    <row r="911" spans="2:4">
      <c r="B911" s="68"/>
      <c r="C911" s="69" t="str">
        <f>IFERROR(VLOOKUP(B911,Roster!$A$2:$B$5000,2,FALSE),"-")</f>
        <v>-</v>
      </c>
      <c r="D911" s="69"/>
    </row>
    <row r="912" spans="2:4">
      <c r="B912" s="68"/>
      <c r="C912" s="69" t="str">
        <f>IFERROR(VLOOKUP(B912,Roster!$A$2:$B$5000,2,FALSE),"-")</f>
        <v>-</v>
      </c>
      <c r="D912" s="69"/>
    </row>
    <row r="913" spans="2:4">
      <c r="B913" s="68"/>
      <c r="C913" s="69" t="str">
        <f>IFERROR(VLOOKUP(B913,Roster!$A$2:$B$5000,2,FALSE),"-")</f>
        <v>-</v>
      </c>
      <c r="D913" s="69"/>
    </row>
    <row r="914" spans="2:4">
      <c r="B914" s="68"/>
      <c r="C914" s="69" t="str">
        <f>IFERROR(VLOOKUP(B914,Roster!$A$2:$B$5000,2,FALSE),"-")</f>
        <v>-</v>
      </c>
      <c r="D914" s="69"/>
    </row>
    <row r="915" spans="2:4">
      <c r="B915" s="68"/>
      <c r="C915" s="69" t="str">
        <f>IFERROR(VLOOKUP(B915,Roster!$A$2:$B$5000,2,FALSE),"-")</f>
        <v>-</v>
      </c>
      <c r="D915" s="69"/>
    </row>
    <row r="916" spans="2:4">
      <c r="B916" s="68"/>
      <c r="C916" s="69" t="str">
        <f>IFERROR(VLOOKUP(B916,Roster!$A$2:$B$5000,2,FALSE),"-")</f>
        <v>-</v>
      </c>
      <c r="D916" s="69"/>
    </row>
    <row r="917" spans="2:4">
      <c r="B917" s="68"/>
      <c r="C917" s="69" t="str">
        <f>IFERROR(VLOOKUP(B917,Roster!$A$2:$B$5000,2,FALSE),"-")</f>
        <v>-</v>
      </c>
      <c r="D917" s="69"/>
    </row>
    <row r="918" spans="2:4">
      <c r="B918" s="68"/>
      <c r="C918" s="69" t="str">
        <f>IFERROR(VLOOKUP(B918,Roster!$A$2:$B$5000,2,FALSE),"-")</f>
        <v>-</v>
      </c>
      <c r="D918" s="69"/>
    </row>
    <row r="919" spans="2:4">
      <c r="B919" s="68"/>
      <c r="C919" s="69" t="str">
        <f>IFERROR(VLOOKUP(B919,Roster!$A$2:$B$5000,2,FALSE),"-")</f>
        <v>-</v>
      </c>
      <c r="D919" s="69"/>
    </row>
    <row r="920" spans="2:4">
      <c r="B920" s="68"/>
      <c r="C920" s="69" t="str">
        <f>IFERROR(VLOOKUP(B920,Roster!$A$2:$B$5000,2,FALSE),"-")</f>
        <v>-</v>
      </c>
      <c r="D920" s="69"/>
    </row>
    <row r="921" spans="2:4">
      <c r="B921" s="68"/>
      <c r="C921" s="69" t="str">
        <f>IFERROR(VLOOKUP(B921,Roster!$A$2:$B$5000,2,FALSE),"-")</f>
        <v>-</v>
      </c>
      <c r="D921" s="69"/>
    </row>
    <row r="922" spans="2:4">
      <c r="B922" s="68"/>
      <c r="C922" s="69" t="str">
        <f>IFERROR(VLOOKUP(B922,Roster!$A$2:$B$5000,2,FALSE),"-")</f>
        <v>-</v>
      </c>
      <c r="D922" s="69"/>
    </row>
    <row r="923" spans="2:4">
      <c r="B923" s="68"/>
      <c r="C923" s="69" t="str">
        <f>IFERROR(VLOOKUP(B923,Roster!$A$2:$B$5000,2,FALSE),"-")</f>
        <v>-</v>
      </c>
      <c r="D923" s="69"/>
    </row>
    <row r="924" spans="2:4">
      <c r="B924" s="68"/>
      <c r="C924" s="69" t="str">
        <f>IFERROR(VLOOKUP(B924,Roster!$A$2:$B$5000,2,FALSE),"-")</f>
        <v>-</v>
      </c>
      <c r="D924" s="69"/>
    </row>
    <row r="925" spans="2:4">
      <c r="B925" s="68"/>
      <c r="C925" s="69" t="str">
        <f>IFERROR(VLOOKUP(B925,Roster!$A$2:$B$5000,2,FALSE),"-")</f>
        <v>-</v>
      </c>
      <c r="D925" s="69"/>
    </row>
    <row r="926" spans="2:4">
      <c r="B926" s="68"/>
      <c r="C926" s="69" t="str">
        <f>IFERROR(VLOOKUP(B926,Roster!$A$2:$B$5000,2,FALSE),"-")</f>
        <v>-</v>
      </c>
      <c r="D926" s="69"/>
    </row>
    <row r="927" spans="2:4">
      <c r="B927" s="68"/>
      <c r="C927" s="69" t="str">
        <f>IFERROR(VLOOKUP(B927,Roster!$A$2:$B$5000,2,FALSE),"-")</f>
        <v>-</v>
      </c>
      <c r="D927" s="69"/>
    </row>
    <row r="928" spans="2:4">
      <c r="B928" s="68"/>
      <c r="C928" s="69" t="str">
        <f>IFERROR(VLOOKUP(B928,Roster!$A$2:$B$5000,2,FALSE),"-")</f>
        <v>-</v>
      </c>
      <c r="D928" s="69"/>
    </row>
    <row r="929" spans="2:4">
      <c r="B929" s="68"/>
      <c r="C929" s="69" t="str">
        <f>IFERROR(VLOOKUP(B929,Roster!$A$2:$B$5000,2,FALSE),"-")</f>
        <v>-</v>
      </c>
      <c r="D929" s="69"/>
    </row>
    <row r="930" spans="2:4">
      <c r="B930" s="68"/>
      <c r="C930" s="69" t="str">
        <f>IFERROR(VLOOKUP(B930,Roster!$A$2:$B$5000,2,FALSE),"-")</f>
        <v>-</v>
      </c>
      <c r="D930" s="69"/>
    </row>
    <row r="931" spans="2:4">
      <c r="B931" s="68"/>
      <c r="C931" s="69" t="str">
        <f>IFERROR(VLOOKUP(B931,Roster!$A$2:$B$5000,2,FALSE),"-")</f>
        <v>-</v>
      </c>
      <c r="D931" s="69"/>
    </row>
    <row r="932" spans="2:4">
      <c r="B932" s="68"/>
      <c r="C932" s="69" t="str">
        <f>IFERROR(VLOOKUP(B932,Roster!$A$2:$B$5000,2,FALSE),"-")</f>
        <v>-</v>
      </c>
      <c r="D932" s="69"/>
    </row>
    <row r="933" spans="2:4">
      <c r="B933" s="68"/>
      <c r="C933" s="69" t="str">
        <f>IFERROR(VLOOKUP(B933,Roster!$A$2:$B$5000,2,FALSE),"-")</f>
        <v>-</v>
      </c>
      <c r="D933" s="69"/>
    </row>
    <row r="934" spans="2:4">
      <c r="B934" s="68"/>
      <c r="C934" s="69" t="str">
        <f>IFERROR(VLOOKUP(B934,Roster!$A$2:$B$5000,2,FALSE),"-")</f>
        <v>-</v>
      </c>
      <c r="D934" s="69"/>
    </row>
    <row r="935" spans="2:4">
      <c r="B935" s="68"/>
      <c r="C935" s="69" t="str">
        <f>IFERROR(VLOOKUP(B935,Roster!$A$2:$B$5000,2,FALSE),"-")</f>
        <v>-</v>
      </c>
      <c r="D935" s="69"/>
    </row>
    <row r="936" spans="2:4">
      <c r="B936" s="68"/>
      <c r="C936" s="69" t="str">
        <f>IFERROR(VLOOKUP(B936,Roster!$A$2:$B$5000,2,FALSE),"-")</f>
        <v>-</v>
      </c>
      <c r="D936" s="69"/>
    </row>
    <row r="937" spans="2:4">
      <c r="B937" s="68"/>
      <c r="C937" s="69" t="str">
        <f>IFERROR(VLOOKUP(B937,Roster!$A$2:$B$5000,2,FALSE),"-")</f>
        <v>-</v>
      </c>
      <c r="D937" s="69"/>
    </row>
    <row r="938" spans="2:4">
      <c r="B938" s="68"/>
      <c r="C938" s="69" t="str">
        <f>IFERROR(VLOOKUP(B938,Roster!$A$2:$B$5000,2,FALSE),"-")</f>
        <v>-</v>
      </c>
      <c r="D938" s="69"/>
    </row>
    <row r="939" spans="2:4">
      <c r="B939" s="68"/>
      <c r="C939" s="69" t="str">
        <f>IFERROR(VLOOKUP(B939,Roster!$A$2:$B$5000,2,FALSE),"-")</f>
        <v>-</v>
      </c>
      <c r="D939" s="69"/>
    </row>
    <row r="940" spans="2:4">
      <c r="B940" s="68"/>
      <c r="C940" s="69" t="str">
        <f>IFERROR(VLOOKUP(B940,Roster!$A$2:$B$5000,2,FALSE),"-")</f>
        <v>-</v>
      </c>
      <c r="D940" s="69"/>
    </row>
    <row r="941" spans="2:4">
      <c r="B941" s="68"/>
      <c r="C941" s="69" t="str">
        <f>IFERROR(VLOOKUP(B941,Roster!$A$2:$B$5000,2,FALSE),"-")</f>
        <v>-</v>
      </c>
      <c r="D941" s="69"/>
    </row>
    <row r="942" spans="2:4">
      <c r="B942" s="68"/>
      <c r="C942" s="69" t="str">
        <f>IFERROR(VLOOKUP(B942,Roster!$A$2:$B$5000,2,FALSE),"-")</f>
        <v>-</v>
      </c>
      <c r="D942" s="69"/>
    </row>
    <row r="943" spans="2:4">
      <c r="B943" s="68"/>
      <c r="C943" s="69" t="str">
        <f>IFERROR(VLOOKUP(B943,Roster!$A$2:$B$5000,2,FALSE),"-")</f>
        <v>-</v>
      </c>
      <c r="D943" s="69"/>
    </row>
    <row r="944" spans="2:4">
      <c r="B944" s="68"/>
      <c r="C944" s="69" t="str">
        <f>IFERROR(VLOOKUP(B944,Roster!$A$2:$B$5000,2,FALSE),"-")</f>
        <v>-</v>
      </c>
      <c r="D944" s="69"/>
    </row>
    <row r="945" spans="2:4">
      <c r="B945" s="68"/>
      <c r="C945" s="69" t="str">
        <f>IFERROR(VLOOKUP(B945,Roster!$A$2:$B$5000,2,FALSE),"-")</f>
        <v>-</v>
      </c>
      <c r="D945" s="69"/>
    </row>
    <row r="946" spans="2:4">
      <c r="B946" s="68"/>
      <c r="C946" s="69" t="str">
        <f>IFERROR(VLOOKUP(B946,Roster!$A$2:$B$5000,2,FALSE),"-")</f>
        <v>-</v>
      </c>
      <c r="D946" s="69"/>
    </row>
    <row r="947" spans="2:4">
      <c r="B947" s="68"/>
      <c r="C947" s="69" t="str">
        <f>IFERROR(VLOOKUP(B947,Roster!$A$2:$B$5000,2,FALSE),"-")</f>
        <v>-</v>
      </c>
      <c r="D947" s="69"/>
    </row>
    <row r="948" spans="2:4">
      <c r="B948" s="68"/>
      <c r="C948" s="69" t="str">
        <f>IFERROR(VLOOKUP(B948,Roster!$A$2:$B$5000,2,FALSE),"-")</f>
        <v>-</v>
      </c>
      <c r="D948" s="69"/>
    </row>
    <row r="949" spans="2:4">
      <c r="B949" s="68"/>
      <c r="C949" s="69" t="str">
        <f>IFERROR(VLOOKUP(B949,Roster!$A$2:$B$5000,2,FALSE),"-")</f>
        <v>-</v>
      </c>
      <c r="D949" s="69"/>
    </row>
    <row r="950" spans="2:4">
      <c r="B950" s="68"/>
      <c r="C950" s="69" t="str">
        <f>IFERROR(VLOOKUP(B950,Roster!$A$2:$B$5000,2,FALSE),"-")</f>
        <v>-</v>
      </c>
      <c r="D950" s="69"/>
    </row>
    <row r="951" spans="2:4">
      <c r="B951" s="68"/>
      <c r="C951" s="69" t="str">
        <f>IFERROR(VLOOKUP(B951,Roster!$A$2:$B$5000,2,FALSE),"-")</f>
        <v>-</v>
      </c>
      <c r="D951" s="69"/>
    </row>
    <row r="952" spans="2:4">
      <c r="B952" s="68"/>
      <c r="C952" s="69" t="str">
        <f>IFERROR(VLOOKUP(B952,Roster!$A$2:$B$5000,2,FALSE),"-")</f>
        <v>-</v>
      </c>
      <c r="D952" s="69"/>
    </row>
    <row r="953" spans="2:4">
      <c r="B953" s="68"/>
      <c r="C953" s="69" t="str">
        <f>IFERROR(VLOOKUP(B953,Roster!$A$2:$B$5000,2,FALSE),"-")</f>
        <v>-</v>
      </c>
      <c r="D953" s="69"/>
    </row>
    <row r="954" spans="2:4">
      <c r="B954" s="68"/>
      <c r="C954" s="69" t="str">
        <f>IFERROR(VLOOKUP(B954,Roster!$A$2:$B$5000,2,FALSE),"-")</f>
        <v>-</v>
      </c>
      <c r="D954" s="69"/>
    </row>
    <row r="955" spans="2:4">
      <c r="B955" s="68"/>
      <c r="C955" s="69" t="str">
        <f>IFERROR(VLOOKUP(B955,Roster!$A$2:$B$5000,2,FALSE),"-")</f>
        <v>-</v>
      </c>
      <c r="D955" s="69"/>
    </row>
    <row r="956" spans="2:4">
      <c r="B956" s="68"/>
      <c r="C956" s="69" t="str">
        <f>IFERROR(VLOOKUP(B956,Roster!$A$2:$B$5000,2,FALSE),"-")</f>
        <v>-</v>
      </c>
      <c r="D956" s="69"/>
    </row>
    <row r="957" spans="2:4">
      <c r="B957" s="68"/>
      <c r="C957" s="69" t="str">
        <f>IFERROR(VLOOKUP(B957,Roster!$A$2:$B$5000,2,FALSE),"-")</f>
        <v>-</v>
      </c>
      <c r="D957" s="69"/>
    </row>
    <row r="958" spans="2:4">
      <c r="B958" s="68"/>
      <c r="C958" s="69" t="str">
        <f>IFERROR(VLOOKUP(B958,Roster!$A$2:$B$5000,2,FALSE),"-")</f>
        <v>-</v>
      </c>
      <c r="D958" s="69"/>
    </row>
    <row r="959" spans="2:4">
      <c r="B959" s="68"/>
      <c r="C959" s="69" t="str">
        <f>IFERROR(VLOOKUP(B959,Roster!$A$2:$B$5000,2,FALSE),"-")</f>
        <v>-</v>
      </c>
      <c r="D959" s="69"/>
    </row>
    <row r="960" spans="2:4">
      <c r="B960" s="68"/>
      <c r="C960" s="69" t="str">
        <f>IFERROR(VLOOKUP(B960,Roster!$A$2:$B$5000,2,FALSE),"-")</f>
        <v>-</v>
      </c>
      <c r="D960" s="69"/>
    </row>
    <row r="961" spans="2:4">
      <c r="B961" s="68"/>
      <c r="C961" s="69" t="str">
        <f>IFERROR(VLOOKUP(B961,Roster!$A$2:$B$5000,2,FALSE),"-")</f>
        <v>-</v>
      </c>
      <c r="D961" s="69"/>
    </row>
    <row r="962" spans="2:4">
      <c r="B962" s="68"/>
      <c r="C962" s="69" t="str">
        <f>IFERROR(VLOOKUP(B962,Roster!$A$2:$B$5000,2,FALSE),"-")</f>
        <v>-</v>
      </c>
      <c r="D962" s="69"/>
    </row>
    <row r="963" spans="2:4">
      <c r="B963" s="68"/>
      <c r="C963" s="69" t="str">
        <f>IFERROR(VLOOKUP(B963,Roster!$A$2:$B$5000,2,FALSE),"-")</f>
        <v>-</v>
      </c>
      <c r="D963" s="69"/>
    </row>
    <row r="964" spans="2:4">
      <c r="B964" s="68"/>
      <c r="C964" s="69" t="str">
        <f>IFERROR(VLOOKUP(B964,Roster!$A$2:$B$5000,2,FALSE),"-")</f>
        <v>-</v>
      </c>
      <c r="D964" s="69"/>
    </row>
    <row r="965" spans="2:4">
      <c r="B965" s="68"/>
      <c r="C965" s="69" t="str">
        <f>IFERROR(VLOOKUP(B965,Roster!$A$2:$B$5000,2,FALSE),"-")</f>
        <v>-</v>
      </c>
      <c r="D965" s="69"/>
    </row>
    <row r="966" spans="2:4">
      <c r="B966" s="68"/>
      <c r="C966" s="69" t="str">
        <f>IFERROR(VLOOKUP(B966,Roster!$A$2:$B$5000,2,FALSE),"-")</f>
        <v>-</v>
      </c>
      <c r="D966" s="69"/>
    </row>
    <row r="967" spans="2:4">
      <c r="B967" s="68"/>
      <c r="C967" s="69" t="str">
        <f>IFERROR(VLOOKUP(B967,Roster!$A$2:$B$5000,2,FALSE),"-")</f>
        <v>-</v>
      </c>
      <c r="D967" s="69"/>
    </row>
    <row r="968" spans="2:4">
      <c r="B968" s="68"/>
      <c r="C968" s="69" t="str">
        <f>IFERROR(VLOOKUP(B968,Roster!$A$2:$B$5000,2,FALSE),"-")</f>
        <v>-</v>
      </c>
      <c r="D968" s="69"/>
    </row>
    <row r="969" spans="2:4">
      <c r="B969" s="68"/>
      <c r="C969" s="69" t="str">
        <f>IFERROR(VLOOKUP(B969,Roster!$A$2:$B$5000,2,FALSE),"-")</f>
        <v>-</v>
      </c>
      <c r="D969" s="69"/>
    </row>
    <row r="970" spans="2:4">
      <c r="B970" s="68"/>
      <c r="C970" s="69" t="str">
        <f>IFERROR(VLOOKUP(B970,Roster!$A$2:$B$5000,2,FALSE),"-")</f>
        <v>-</v>
      </c>
      <c r="D970" s="69"/>
    </row>
    <row r="971" spans="2:4">
      <c r="B971" s="68"/>
      <c r="C971" s="69" t="str">
        <f>IFERROR(VLOOKUP(B971,Roster!$A$2:$B$5000,2,FALSE),"-")</f>
        <v>-</v>
      </c>
      <c r="D971" s="69"/>
    </row>
    <row r="972" spans="2:4">
      <c r="B972" s="68"/>
      <c r="C972" s="69" t="str">
        <f>IFERROR(VLOOKUP(B972,Roster!$A$2:$B$5000,2,FALSE),"-")</f>
        <v>-</v>
      </c>
      <c r="D972" s="69"/>
    </row>
    <row r="973" spans="2:4">
      <c r="B973" s="68"/>
      <c r="C973" s="69" t="str">
        <f>IFERROR(VLOOKUP(B973,Roster!$A$2:$B$5000,2,FALSE),"-")</f>
        <v>-</v>
      </c>
      <c r="D973" s="69"/>
    </row>
    <row r="974" spans="2:4">
      <c r="B974" s="68"/>
      <c r="C974" s="69" t="str">
        <f>IFERROR(VLOOKUP(B974,Roster!$A$2:$B$5000,2,FALSE),"-")</f>
        <v>-</v>
      </c>
      <c r="D974" s="69"/>
    </row>
    <row r="975" spans="2:4">
      <c r="B975" s="68"/>
      <c r="C975" s="69" t="str">
        <f>IFERROR(VLOOKUP(B975,Roster!$A$2:$B$5000,2,FALSE),"-")</f>
        <v>-</v>
      </c>
      <c r="D975" s="69"/>
    </row>
    <row r="976" spans="2:4">
      <c r="B976" s="68"/>
      <c r="C976" s="69" t="str">
        <f>IFERROR(VLOOKUP(B976,Roster!$A$2:$B$5000,2,FALSE),"-")</f>
        <v>-</v>
      </c>
      <c r="D976" s="69"/>
    </row>
    <row r="977" spans="2:4">
      <c r="B977" s="68"/>
      <c r="C977" s="69" t="str">
        <f>IFERROR(VLOOKUP(B977,Roster!$A$2:$B$5000,2,FALSE),"-")</f>
        <v>-</v>
      </c>
      <c r="D977" s="69"/>
    </row>
    <row r="978" spans="2:4">
      <c r="B978" s="68"/>
      <c r="C978" s="69" t="str">
        <f>IFERROR(VLOOKUP(B978,Roster!$A$2:$B$5000,2,FALSE),"-")</f>
        <v>-</v>
      </c>
      <c r="D978" s="69"/>
    </row>
    <row r="979" spans="2:4">
      <c r="B979" s="68"/>
      <c r="C979" s="69" t="str">
        <f>IFERROR(VLOOKUP(B979,Roster!$A$2:$B$5000,2,FALSE),"-")</f>
        <v>-</v>
      </c>
      <c r="D979" s="69"/>
    </row>
    <row r="980" spans="2:4">
      <c r="B980" s="68"/>
      <c r="C980" s="69" t="str">
        <f>IFERROR(VLOOKUP(B980,Roster!$A$2:$B$5000,2,FALSE),"-")</f>
        <v>-</v>
      </c>
      <c r="D980" s="69"/>
    </row>
    <row r="981" spans="2:4">
      <c r="B981" s="68"/>
      <c r="C981" s="69" t="str">
        <f>IFERROR(VLOOKUP(B981,Roster!$A$2:$B$5000,2,FALSE),"-")</f>
        <v>-</v>
      </c>
      <c r="D981" s="69"/>
    </row>
    <row r="982" spans="2:4">
      <c r="B982" s="68"/>
      <c r="C982" s="69" t="str">
        <f>IFERROR(VLOOKUP(B982,Roster!$A$2:$B$5000,2,FALSE),"-")</f>
        <v>-</v>
      </c>
      <c r="D982" s="69"/>
    </row>
    <row r="983" spans="2:4">
      <c r="B983" s="68"/>
      <c r="C983" s="69" t="str">
        <f>IFERROR(VLOOKUP(B983,Roster!$A$2:$B$5000,2,FALSE),"-")</f>
        <v>-</v>
      </c>
      <c r="D983" s="69"/>
    </row>
    <row r="984" spans="2:4">
      <c r="B984" s="68"/>
      <c r="C984" s="69" t="str">
        <f>IFERROR(VLOOKUP(B984,Roster!$A$2:$B$5000,2,FALSE),"-")</f>
        <v>-</v>
      </c>
      <c r="D984" s="69"/>
    </row>
    <row r="985" spans="2:4">
      <c r="B985" s="68"/>
      <c r="C985" s="69" t="str">
        <f>IFERROR(VLOOKUP(B985,Roster!$A$2:$B$5000,2,FALSE),"-")</f>
        <v>-</v>
      </c>
      <c r="D985" s="69"/>
    </row>
    <row r="986" spans="2:4">
      <c r="B986" s="68"/>
      <c r="C986" s="69" t="str">
        <f>IFERROR(VLOOKUP(B986,Roster!$A$2:$B$5000,2,FALSE),"-")</f>
        <v>-</v>
      </c>
      <c r="D986" s="69"/>
    </row>
    <row r="987" spans="2:4">
      <c r="B987" s="68"/>
      <c r="C987" s="69" t="str">
        <f>IFERROR(VLOOKUP(B987,Roster!$A$2:$B$5000,2,FALSE),"-")</f>
        <v>-</v>
      </c>
      <c r="D987" s="69"/>
    </row>
    <row r="988" spans="2:4">
      <c r="B988" s="68"/>
      <c r="C988" s="69" t="str">
        <f>IFERROR(VLOOKUP(B988,Roster!$A$2:$B$5000,2,FALSE),"-")</f>
        <v>-</v>
      </c>
      <c r="D988" s="69"/>
    </row>
    <row r="989" spans="2:4">
      <c r="B989" s="68"/>
      <c r="C989" s="69" t="str">
        <f>IFERROR(VLOOKUP(B989,Roster!$A$2:$B$5000,2,FALSE),"-")</f>
        <v>-</v>
      </c>
      <c r="D989" s="69"/>
    </row>
    <row r="990" spans="2:4">
      <c r="B990" s="68"/>
      <c r="C990" s="69" t="str">
        <f>IFERROR(VLOOKUP(B990,Roster!$A$2:$B$5000,2,FALSE),"-")</f>
        <v>-</v>
      </c>
      <c r="D990" s="69"/>
    </row>
    <row r="991" spans="2:4">
      <c r="B991" s="68"/>
      <c r="C991" s="69" t="str">
        <f>IFERROR(VLOOKUP(B991,Roster!$A$2:$B$5000,2,FALSE),"-")</f>
        <v>-</v>
      </c>
      <c r="D991" s="69"/>
    </row>
    <row r="992" spans="2:4">
      <c r="B992" s="68"/>
      <c r="C992" s="69" t="str">
        <f>IFERROR(VLOOKUP(B992,Roster!$A$2:$B$5000,2,FALSE),"-")</f>
        <v>-</v>
      </c>
      <c r="D992" s="69"/>
    </row>
    <row r="993" spans="2:4">
      <c r="B993" s="68"/>
      <c r="C993" s="69" t="str">
        <f>IFERROR(VLOOKUP(B993,Roster!$A$2:$B$5000,2,FALSE),"-")</f>
        <v>-</v>
      </c>
      <c r="D993" s="69"/>
    </row>
    <row r="994" spans="2:4">
      <c r="B994" s="68"/>
      <c r="C994" s="69" t="str">
        <f>IFERROR(VLOOKUP(B994,Roster!$A$2:$B$5000,2,FALSE),"-")</f>
        <v>-</v>
      </c>
      <c r="D994" s="69"/>
    </row>
    <row r="995" spans="2:4">
      <c r="B995" s="68"/>
      <c r="C995" s="69" t="str">
        <f>IFERROR(VLOOKUP(B995,Roster!$A$2:$B$5000,2,FALSE),"-")</f>
        <v>-</v>
      </c>
      <c r="D995" s="69"/>
    </row>
    <row r="996" spans="2:4">
      <c r="B996" s="68"/>
      <c r="C996" s="69" t="str">
        <f>IFERROR(VLOOKUP(B996,Roster!$A$2:$B$5000,2,FALSE),"-")</f>
        <v>-</v>
      </c>
      <c r="D996" s="69"/>
    </row>
    <row r="997" spans="2:4">
      <c r="B997" s="68"/>
      <c r="C997" s="69" t="str">
        <f>IFERROR(VLOOKUP(B997,Roster!$A$2:$B$5000,2,FALSE),"-")</f>
        <v>-</v>
      </c>
      <c r="D997" s="69"/>
    </row>
    <row r="998" spans="2:4">
      <c r="B998" s="68"/>
      <c r="C998" s="69" t="str">
        <f>IFERROR(VLOOKUP(B998,Roster!$A$2:$B$5000,2,FALSE),"-")</f>
        <v>-</v>
      </c>
      <c r="D998" s="69"/>
    </row>
    <row r="999" spans="2:4">
      <c r="B999" s="68"/>
      <c r="C999" s="69" t="str">
        <f>IFERROR(VLOOKUP(B999,Roster!$A$2:$B$5000,2,FALSE),"-")</f>
        <v>-</v>
      </c>
      <c r="D999" s="69"/>
    </row>
    <row r="1000" spans="2:4" ht="15.75" thickBot="1">
      <c r="B1000" s="77"/>
      <c r="C1000" s="69" t="str">
        <f>IFERROR(VLOOKUP(B1000,Roster!$A$2:$B$5000,2,FALSE),"-")</f>
        <v>-</v>
      </c>
      <c r="D1000" s="69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36</vt:i4>
      </vt:variant>
    </vt:vector>
  </HeadingPairs>
  <TitlesOfParts>
    <vt:vector size="44" baseType="lpstr">
      <vt:lpstr>Staffing</vt:lpstr>
      <vt:lpstr>DOCK</vt:lpstr>
      <vt:lpstr>PIT</vt:lpstr>
      <vt:lpstr>Outbound Nights</vt:lpstr>
      <vt:lpstr>PS_ICQA_Learning</vt:lpstr>
      <vt:lpstr>Roster</vt:lpstr>
      <vt:lpstr>Instructions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Manoelle</dc:creator>
  <cp:lastModifiedBy>Knullack K</cp:lastModifiedBy>
  <dcterms:created xsi:type="dcterms:W3CDTF">2020-05-13T13:11:01Z</dcterms:created>
  <dcterms:modified xsi:type="dcterms:W3CDTF">2023-12-11T21:24:49Z</dcterms:modified>
</cp:coreProperties>
</file>